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techmojro-my.sharepoint.com/personal/tathagata_mojro_com/Documents/Desktop/Code Repo/Driver Assignment Engine/v2.2/fantasy_football_simulator/data/"/>
    </mc:Choice>
  </mc:AlternateContent>
  <xr:revisionPtr revIDLastSave="22" documentId="11_D6B11574CAB7B9E3A5B02BAF055C55885AC5A1B2" xr6:coauthVersionLast="47" xr6:coauthVersionMax="47" xr10:uidLastSave="{22F7EC10-C948-4295-A0AE-69DA432CC08D}"/>
  <bookViews>
    <workbookView xWindow="-110" yWindow="-110" windowWidth="19420" windowHeight="11500" activeTab="3" xr2:uid="{00000000-000D-0000-FFFF-FFFF00000000}"/>
  </bookViews>
  <sheets>
    <sheet name="Read Me" sheetId="1" r:id="rId1"/>
    <sheet name="Conversion Range" sheetId="2" r:id="rId2"/>
    <sheet name="Legend Attributes" sheetId="3" r:id="rId3"/>
    <sheet name="Converted Per-90 Preview"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38" i="4" l="1"/>
  <c r="AI38" i="4"/>
  <c r="AH38" i="4"/>
  <c r="AG38" i="4"/>
  <c r="AF38" i="4"/>
  <c r="AE38" i="4"/>
  <c r="AD38" i="4"/>
  <c r="AC38" i="4"/>
  <c r="AB38" i="4"/>
  <c r="AA38" i="4"/>
  <c r="Z38" i="4"/>
  <c r="Y38" i="4"/>
  <c r="X38" i="4"/>
  <c r="W38" i="4"/>
  <c r="V38" i="4"/>
  <c r="U38" i="4"/>
  <c r="T38" i="4"/>
  <c r="S38" i="4"/>
  <c r="R38" i="4"/>
  <c r="Q38" i="4"/>
  <c r="P38" i="4"/>
  <c r="O38" i="4"/>
  <c r="N38" i="4"/>
  <c r="M38" i="4"/>
  <c r="L38" i="4"/>
  <c r="K38" i="4"/>
  <c r="J38" i="4"/>
  <c r="I38" i="4"/>
  <c r="H38" i="4"/>
  <c r="G38" i="4"/>
  <c r="F38" i="4"/>
  <c r="E38" i="4"/>
  <c r="D38" i="4"/>
  <c r="C38" i="4"/>
  <c r="B38" i="4"/>
  <c r="A38" i="4"/>
  <c r="AJ37" i="4"/>
  <c r="AI37" i="4"/>
  <c r="AH37" i="4"/>
  <c r="AG37" i="4"/>
  <c r="AF37" i="4"/>
  <c r="AE37" i="4"/>
  <c r="AD37" i="4"/>
  <c r="AC37" i="4"/>
  <c r="AB37" i="4"/>
  <c r="AA37" i="4"/>
  <c r="Z37" i="4"/>
  <c r="Y37" i="4"/>
  <c r="X37" i="4"/>
  <c r="W37" i="4"/>
  <c r="V37" i="4"/>
  <c r="U37" i="4"/>
  <c r="T37" i="4"/>
  <c r="S37" i="4"/>
  <c r="R37" i="4"/>
  <c r="Q37" i="4"/>
  <c r="P37" i="4"/>
  <c r="O37" i="4"/>
  <c r="N37" i="4"/>
  <c r="M37" i="4"/>
  <c r="L37" i="4"/>
  <c r="K37" i="4"/>
  <c r="J37" i="4"/>
  <c r="I37" i="4"/>
  <c r="H37" i="4"/>
  <c r="G37" i="4"/>
  <c r="F37" i="4"/>
  <c r="E37" i="4"/>
  <c r="D37" i="4"/>
  <c r="C37" i="4"/>
  <c r="B37" i="4"/>
  <c r="A37" i="4"/>
  <c r="AJ36" i="4"/>
  <c r="AI36" i="4"/>
  <c r="AH36" i="4"/>
  <c r="AG36" i="4"/>
  <c r="AF36" i="4"/>
  <c r="AE36" i="4"/>
  <c r="AD36" i="4"/>
  <c r="AC36" i="4"/>
  <c r="AB36" i="4"/>
  <c r="AA36" i="4"/>
  <c r="Z36" i="4"/>
  <c r="Y36" i="4"/>
  <c r="X36" i="4"/>
  <c r="W36" i="4"/>
  <c r="V36" i="4"/>
  <c r="U36" i="4"/>
  <c r="T36" i="4"/>
  <c r="S36" i="4"/>
  <c r="R36" i="4"/>
  <c r="Q36" i="4"/>
  <c r="P36" i="4"/>
  <c r="O36" i="4"/>
  <c r="N36" i="4"/>
  <c r="M36" i="4"/>
  <c r="L36" i="4"/>
  <c r="K36" i="4"/>
  <c r="J36" i="4"/>
  <c r="I36" i="4"/>
  <c r="H36" i="4"/>
  <c r="G36" i="4"/>
  <c r="F36" i="4"/>
  <c r="E36" i="4"/>
  <c r="D36" i="4"/>
  <c r="C36" i="4"/>
  <c r="B36" i="4"/>
  <c r="A36" i="4"/>
  <c r="AJ35" i="4"/>
  <c r="AI35" i="4"/>
  <c r="AH35" i="4"/>
  <c r="AG35" i="4"/>
  <c r="AF35" i="4"/>
  <c r="AE35" i="4"/>
  <c r="AD35" i="4"/>
  <c r="AC35" i="4"/>
  <c r="AB35" i="4"/>
  <c r="AA35" i="4"/>
  <c r="Z35" i="4"/>
  <c r="Y35" i="4"/>
  <c r="X35" i="4"/>
  <c r="W35" i="4"/>
  <c r="V35" i="4"/>
  <c r="U35" i="4"/>
  <c r="T35" i="4"/>
  <c r="S35" i="4"/>
  <c r="R35" i="4"/>
  <c r="Q35" i="4"/>
  <c r="P35" i="4"/>
  <c r="O35" i="4"/>
  <c r="N35" i="4"/>
  <c r="M35" i="4"/>
  <c r="L35" i="4"/>
  <c r="K35" i="4"/>
  <c r="J35" i="4"/>
  <c r="I35" i="4"/>
  <c r="H35" i="4"/>
  <c r="G35" i="4"/>
  <c r="F35" i="4"/>
  <c r="E35" i="4"/>
  <c r="D35" i="4"/>
  <c r="C35" i="4"/>
  <c r="B35" i="4"/>
  <c r="A35" i="4"/>
  <c r="AJ34" i="4"/>
  <c r="AI34" i="4"/>
  <c r="AH34" i="4"/>
  <c r="AG34" i="4"/>
  <c r="AF34" i="4"/>
  <c r="AE34" i="4"/>
  <c r="AD34" i="4"/>
  <c r="AC34" i="4"/>
  <c r="AB34" i="4"/>
  <c r="AA34" i="4"/>
  <c r="Z34" i="4"/>
  <c r="Y34" i="4"/>
  <c r="X34" i="4"/>
  <c r="W34" i="4"/>
  <c r="V34" i="4"/>
  <c r="U34" i="4"/>
  <c r="T34" i="4"/>
  <c r="S34" i="4"/>
  <c r="R34" i="4"/>
  <c r="Q34" i="4"/>
  <c r="P34" i="4"/>
  <c r="O34" i="4"/>
  <c r="N34" i="4"/>
  <c r="M34" i="4"/>
  <c r="L34" i="4"/>
  <c r="K34" i="4"/>
  <c r="J34" i="4"/>
  <c r="I34" i="4"/>
  <c r="H34" i="4"/>
  <c r="G34" i="4"/>
  <c r="F34" i="4"/>
  <c r="E34" i="4"/>
  <c r="D34" i="4"/>
  <c r="C34" i="4"/>
  <c r="B34" i="4"/>
  <c r="A34" i="4"/>
  <c r="AJ33" i="4"/>
  <c r="AI33" i="4"/>
  <c r="AH33" i="4"/>
  <c r="AG33" i="4"/>
  <c r="AF33" i="4"/>
  <c r="AE33" i="4"/>
  <c r="AD33" i="4"/>
  <c r="AC33" i="4"/>
  <c r="AB33" i="4"/>
  <c r="AA33" i="4"/>
  <c r="Z33" i="4"/>
  <c r="Y33" i="4"/>
  <c r="X33" i="4"/>
  <c r="W33" i="4"/>
  <c r="V33" i="4"/>
  <c r="U33" i="4"/>
  <c r="T33" i="4"/>
  <c r="S33" i="4"/>
  <c r="R33" i="4"/>
  <c r="Q33" i="4"/>
  <c r="P33" i="4"/>
  <c r="O33" i="4"/>
  <c r="N33" i="4"/>
  <c r="M33" i="4"/>
  <c r="L33" i="4"/>
  <c r="K33" i="4"/>
  <c r="J33" i="4"/>
  <c r="I33" i="4"/>
  <c r="H33" i="4"/>
  <c r="G33" i="4"/>
  <c r="F33" i="4"/>
  <c r="E33" i="4"/>
  <c r="D33" i="4"/>
  <c r="C33" i="4"/>
  <c r="B33" i="4"/>
  <c r="A33" i="4"/>
  <c r="AJ32" i="4"/>
  <c r="AI32" i="4"/>
  <c r="AH32" i="4"/>
  <c r="AG32" i="4"/>
  <c r="AF32" i="4"/>
  <c r="AE32" i="4"/>
  <c r="AD32" i="4"/>
  <c r="AC32" i="4"/>
  <c r="AB32" i="4"/>
  <c r="AA32" i="4"/>
  <c r="Z32" i="4"/>
  <c r="Y32" i="4"/>
  <c r="X32" i="4"/>
  <c r="W32" i="4"/>
  <c r="V32" i="4"/>
  <c r="U32" i="4"/>
  <c r="T32" i="4"/>
  <c r="S32" i="4"/>
  <c r="R32" i="4"/>
  <c r="Q32" i="4"/>
  <c r="P32" i="4"/>
  <c r="O32" i="4"/>
  <c r="N32" i="4"/>
  <c r="M32" i="4"/>
  <c r="L32" i="4"/>
  <c r="K32" i="4"/>
  <c r="J32" i="4"/>
  <c r="I32" i="4"/>
  <c r="H32" i="4"/>
  <c r="G32" i="4"/>
  <c r="F32" i="4"/>
  <c r="E32" i="4"/>
  <c r="D32" i="4"/>
  <c r="C32" i="4"/>
  <c r="B32" i="4"/>
  <c r="A32" i="4"/>
  <c r="AJ31" i="4"/>
  <c r="AI31" i="4"/>
  <c r="AH31" i="4"/>
  <c r="AG31" i="4"/>
  <c r="AF31" i="4"/>
  <c r="AE31" i="4"/>
  <c r="AD31" i="4"/>
  <c r="AC31" i="4"/>
  <c r="AB31" i="4"/>
  <c r="AA31" i="4"/>
  <c r="Z31" i="4"/>
  <c r="Y31" i="4"/>
  <c r="X31" i="4"/>
  <c r="W31" i="4"/>
  <c r="V31" i="4"/>
  <c r="U31" i="4"/>
  <c r="T31" i="4"/>
  <c r="S31" i="4"/>
  <c r="R31" i="4"/>
  <c r="Q31" i="4"/>
  <c r="P31" i="4"/>
  <c r="O31" i="4"/>
  <c r="N31" i="4"/>
  <c r="M31" i="4"/>
  <c r="L31" i="4"/>
  <c r="K31" i="4"/>
  <c r="J31" i="4"/>
  <c r="I31" i="4"/>
  <c r="H31" i="4"/>
  <c r="G31" i="4"/>
  <c r="F31" i="4"/>
  <c r="E31" i="4"/>
  <c r="D31" i="4"/>
  <c r="C31" i="4"/>
  <c r="B31" i="4"/>
  <c r="A31" i="4"/>
  <c r="AJ30" i="4"/>
  <c r="AI30" i="4"/>
  <c r="AH30" i="4"/>
  <c r="AG30" i="4"/>
  <c r="AF30" i="4"/>
  <c r="AE30" i="4"/>
  <c r="AD30" i="4"/>
  <c r="AC30" i="4"/>
  <c r="AB30" i="4"/>
  <c r="AA30" i="4"/>
  <c r="Z30" i="4"/>
  <c r="Y30" i="4"/>
  <c r="X30" i="4"/>
  <c r="W30" i="4"/>
  <c r="V30" i="4"/>
  <c r="U30" i="4"/>
  <c r="T30" i="4"/>
  <c r="S30" i="4"/>
  <c r="R30" i="4"/>
  <c r="Q30" i="4"/>
  <c r="P30" i="4"/>
  <c r="O30" i="4"/>
  <c r="N30" i="4"/>
  <c r="M30" i="4"/>
  <c r="L30" i="4"/>
  <c r="K30" i="4"/>
  <c r="J30" i="4"/>
  <c r="I30" i="4"/>
  <c r="H30" i="4"/>
  <c r="G30" i="4"/>
  <c r="F30" i="4"/>
  <c r="E30" i="4"/>
  <c r="D30" i="4"/>
  <c r="C30" i="4"/>
  <c r="B30" i="4"/>
  <c r="A30" i="4"/>
  <c r="AJ29" i="4"/>
  <c r="AI29" i="4"/>
  <c r="AH29" i="4"/>
  <c r="AG29"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E29" i="4"/>
  <c r="D29" i="4"/>
  <c r="C29" i="4"/>
  <c r="B29" i="4"/>
  <c r="A29" i="4"/>
  <c r="AJ28" i="4"/>
  <c r="AI28" i="4"/>
  <c r="AH28" i="4"/>
  <c r="AG28" i="4"/>
  <c r="AF28" i="4"/>
  <c r="AE28" i="4"/>
  <c r="AD28" i="4"/>
  <c r="AC28" i="4"/>
  <c r="AB28" i="4"/>
  <c r="AA28" i="4"/>
  <c r="Z28" i="4"/>
  <c r="Y28" i="4"/>
  <c r="X28" i="4"/>
  <c r="W28" i="4"/>
  <c r="V28" i="4"/>
  <c r="U28" i="4"/>
  <c r="T28" i="4"/>
  <c r="S28" i="4"/>
  <c r="R28" i="4"/>
  <c r="Q28" i="4"/>
  <c r="P28" i="4"/>
  <c r="O28" i="4"/>
  <c r="N28" i="4"/>
  <c r="M28" i="4"/>
  <c r="L28" i="4"/>
  <c r="K28" i="4"/>
  <c r="J28" i="4"/>
  <c r="I28" i="4"/>
  <c r="H28" i="4"/>
  <c r="G28" i="4"/>
  <c r="F28" i="4"/>
  <c r="E28" i="4"/>
  <c r="D28" i="4"/>
  <c r="C28" i="4"/>
  <c r="B28" i="4"/>
  <c r="A28" i="4"/>
  <c r="AJ27" i="4"/>
  <c r="AI27" i="4"/>
  <c r="AH27" i="4"/>
  <c r="AG27" i="4"/>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E27" i="4"/>
  <c r="D27" i="4"/>
  <c r="C27" i="4"/>
  <c r="B27" i="4"/>
  <c r="A27" i="4"/>
  <c r="AJ26" i="4"/>
  <c r="AI26" i="4"/>
  <c r="AH26" i="4"/>
  <c r="AG26" i="4"/>
  <c r="AF26" i="4"/>
  <c r="AE26" i="4"/>
  <c r="AD26" i="4"/>
  <c r="AC26" i="4"/>
  <c r="AB26" i="4"/>
  <c r="AA26" i="4"/>
  <c r="Z26" i="4"/>
  <c r="Y26" i="4"/>
  <c r="X26" i="4"/>
  <c r="W26" i="4"/>
  <c r="V26" i="4"/>
  <c r="U26" i="4"/>
  <c r="T26" i="4"/>
  <c r="S26" i="4"/>
  <c r="R26" i="4"/>
  <c r="Q26" i="4"/>
  <c r="P26" i="4"/>
  <c r="O26" i="4"/>
  <c r="N26" i="4"/>
  <c r="M26" i="4"/>
  <c r="L26" i="4"/>
  <c r="K26" i="4"/>
  <c r="J26" i="4"/>
  <c r="I26" i="4"/>
  <c r="H26" i="4"/>
  <c r="G26" i="4"/>
  <c r="F26" i="4"/>
  <c r="E26" i="4"/>
  <c r="D26" i="4"/>
  <c r="C26" i="4"/>
  <c r="B26" i="4"/>
  <c r="A26" i="4"/>
  <c r="AJ25" i="4"/>
  <c r="AI25" i="4"/>
  <c r="AH25" i="4"/>
  <c r="AG25" i="4"/>
  <c r="AF25" i="4"/>
  <c r="AE25" i="4"/>
  <c r="AD25" i="4"/>
  <c r="AC25" i="4"/>
  <c r="AB25" i="4"/>
  <c r="AA25" i="4"/>
  <c r="Z25" i="4"/>
  <c r="Y25" i="4"/>
  <c r="X25" i="4"/>
  <c r="W25" i="4"/>
  <c r="V25" i="4"/>
  <c r="U25" i="4"/>
  <c r="T25" i="4"/>
  <c r="S25" i="4"/>
  <c r="R25" i="4"/>
  <c r="Q25" i="4"/>
  <c r="P25" i="4"/>
  <c r="O25" i="4"/>
  <c r="N25" i="4"/>
  <c r="M25" i="4"/>
  <c r="L25" i="4"/>
  <c r="K25" i="4"/>
  <c r="J25" i="4"/>
  <c r="I25" i="4"/>
  <c r="H25" i="4"/>
  <c r="G25" i="4"/>
  <c r="F25" i="4"/>
  <c r="E25" i="4"/>
  <c r="D25" i="4"/>
  <c r="C25" i="4"/>
  <c r="B25" i="4"/>
  <c r="A25" i="4"/>
  <c r="AJ24" i="4"/>
  <c r="AI24" i="4"/>
  <c r="AH24" i="4"/>
  <c r="AG24" i="4"/>
  <c r="AF24" i="4"/>
  <c r="AE24" i="4"/>
  <c r="AD24" i="4"/>
  <c r="AC24" i="4"/>
  <c r="AB24" i="4"/>
  <c r="AA24" i="4"/>
  <c r="Z24" i="4"/>
  <c r="Y24" i="4"/>
  <c r="X24" i="4"/>
  <c r="W24" i="4"/>
  <c r="V24" i="4"/>
  <c r="U24" i="4"/>
  <c r="T24" i="4"/>
  <c r="S24" i="4"/>
  <c r="R24" i="4"/>
  <c r="Q24" i="4"/>
  <c r="P24" i="4"/>
  <c r="O24" i="4"/>
  <c r="N24" i="4"/>
  <c r="M24" i="4"/>
  <c r="L24" i="4"/>
  <c r="K24" i="4"/>
  <c r="J24" i="4"/>
  <c r="I24" i="4"/>
  <c r="H24" i="4"/>
  <c r="G24" i="4"/>
  <c r="F24" i="4"/>
  <c r="E24" i="4"/>
  <c r="D24" i="4"/>
  <c r="C24" i="4"/>
  <c r="B24" i="4"/>
  <c r="A24" i="4"/>
  <c r="AJ23" i="4"/>
  <c r="AI23" i="4"/>
  <c r="AH23" i="4"/>
  <c r="AG23" i="4"/>
  <c r="AF23" i="4"/>
  <c r="AE23" i="4"/>
  <c r="AD23" i="4"/>
  <c r="AC23" i="4"/>
  <c r="AB23" i="4"/>
  <c r="AA23" i="4"/>
  <c r="Z23" i="4"/>
  <c r="Y23" i="4"/>
  <c r="X23" i="4"/>
  <c r="W23" i="4"/>
  <c r="V23" i="4"/>
  <c r="U23" i="4"/>
  <c r="T23" i="4"/>
  <c r="S23" i="4"/>
  <c r="R23" i="4"/>
  <c r="Q23" i="4"/>
  <c r="P23" i="4"/>
  <c r="O23" i="4"/>
  <c r="N23" i="4"/>
  <c r="M23" i="4"/>
  <c r="L23" i="4"/>
  <c r="K23" i="4"/>
  <c r="J23" i="4"/>
  <c r="I23" i="4"/>
  <c r="H23" i="4"/>
  <c r="G23" i="4"/>
  <c r="F23" i="4"/>
  <c r="E23" i="4"/>
  <c r="D23" i="4"/>
  <c r="C23" i="4"/>
  <c r="B23" i="4"/>
  <c r="A23"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B22" i="4"/>
  <c r="A22"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B21" i="4"/>
  <c r="A21"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B20" i="4"/>
  <c r="A20"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B19" i="4"/>
  <c r="A19"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B18" i="4"/>
  <c r="A18"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B17" i="4"/>
  <c r="A17"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B16" i="4"/>
  <c r="A16"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B15" i="4"/>
  <c r="A15"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B14" i="4"/>
  <c r="A14"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B13" i="4"/>
  <c r="A13" i="4"/>
  <c r="AJ12" i="4"/>
  <c r="AI12" i="4"/>
  <c r="AH12"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D12" i="4"/>
  <c r="C12" i="4"/>
  <c r="B12" i="4"/>
  <c r="A12"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C11" i="4"/>
  <c r="B11" i="4"/>
  <c r="A11" i="4"/>
  <c r="AJ10" i="4"/>
  <c r="AI10" i="4"/>
  <c r="AH10" i="4"/>
  <c r="AG10" i="4"/>
  <c r="AF10" i="4"/>
  <c r="AE10" i="4"/>
  <c r="AD10" i="4"/>
  <c r="AC10" i="4"/>
  <c r="AB10" i="4"/>
  <c r="AA10" i="4"/>
  <c r="Z10" i="4"/>
  <c r="Y10" i="4"/>
  <c r="X10" i="4"/>
  <c r="W10" i="4"/>
  <c r="V10" i="4"/>
  <c r="U10" i="4"/>
  <c r="T10" i="4"/>
  <c r="S10" i="4"/>
  <c r="R10" i="4"/>
  <c r="Q10" i="4"/>
  <c r="P10" i="4"/>
  <c r="O10" i="4"/>
  <c r="N10" i="4"/>
  <c r="M10" i="4"/>
  <c r="L10" i="4"/>
  <c r="K10" i="4"/>
  <c r="J10" i="4"/>
  <c r="I10" i="4"/>
  <c r="H10" i="4"/>
  <c r="G10" i="4"/>
  <c r="F10" i="4"/>
  <c r="E10" i="4"/>
  <c r="D10" i="4"/>
  <c r="C10" i="4"/>
  <c r="B10" i="4"/>
  <c r="A10" i="4"/>
  <c r="AJ9" i="4"/>
  <c r="AI9"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C9" i="4"/>
  <c r="B9" i="4"/>
  <c r="A9"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B8" i="4"/>
  <c r="A8"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B7" i="4"/>
  <c r="A7" i="4"/>
  <c r="AJ6" i="4"/>
  <c r="AI6"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C6" i="4"/>
  <c r="B6" i="4"/>
  <c r="A6"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C5" i="4"/>
  <c r="B5" i="4"/>
  <c r="A5" i="4"/>
  <c r="AJ4" i="4"/>
  <c r="AI4" i="4"/>
  <c r="AH4" i="4"/>
  <c r="AG4" i="4"/>
  <c r="AF4" i="4"/>
  <c r="AE4" i="4"/>
  <c r="AD4" i="4"/>
  <c r="AC4" i="4"/>
  <c r="AB4" i="4"/>
  <c r="AA4" i="4"/>
  <c r="Z4" i="4"/>
  <c r="Y4" i="4"/>
  <c r="X4" i="4"/>
  <c r="W4" i="4"/>
  <c r="V4" i="4"/>
  <c r="U4" i="4"/>
  <c r="T4" i="4"/>
  <c r="S4" i="4"/>
  <c r="R4" i="4"/>
  <c r="Q4" i="4"/>
  <c r="P4" i="4"/>
  <c r="O4" i="4"/>
  <c r="N4" i="4"/>
  <c r="M4" i="4"/>
  <c r="L4" i="4"/>
  <c r="K4" i="4"/>
  <c r="J4" i="4"/>
  <c r="I4" i="4"/>
  <c r="H4" i="4"/>
  <c r="G4" i="4"/>
  <c r="F4" i="4"/>
  <c r="E4" i="4"/>
  <c r="D4" i="4"/>
  <c r="C4" i="4"/>
  <c r="B4" i="4"/>
  <c r="A4" i="4"/>
  <c r="AJ3" i="4"/>
  <c r="AI3" i="4"/>
  <c r="AH3" i="4"/>
  <c r="AG3" i="4"/>
  <c r="AF3" i="4"/>
  <c r="AE3" i="4"/>
  <c r="AD3" i="4"/>
  <c r="AC3" i="4"/>
  <c r="AB3" i="4"/>
  <c r="AA3" i="4"/>
  <c r="Z3" i="4"/>
  <c r="Y3" i="4"/>
  <c r="X3" i="4"/>
  <c r="W3" i="4"/>
  <c r="V3" i="4"/>
  <c r="U3" i="4"/>
  <c r="T3" i="4"/>
  <c r="S3" i="4"/>
  <c r="R3" i="4"/>
  <c r="Q3" i="4"/>
  <c r="P3" i="4"/>
  <c r="O3" i="4"/>
  <c r="N3" i="4"/>
  <c r="M3" i="4"/>
  <c r="L3" i="4"/>
  <c r="K3" i="4"/>
  <c r="J3" i="4"/>
  <c r="I3" i="4"/>
  <c r="H3" i="4"/>
  <c r="G3" i="4"/>
  <c r="F3" i="4"/>
  <c r="E3" i="4"/>
  <c r="D3" i="4"/>
  <c r="C3" i="4"/>
  <c r="B3" i="4"/>
  <c r="A3" i="4"/>
  <c r="AJ2" i="4"/>
  <c r="AI2" i="4"/>
  <c r="AH2" i="4"/>
  <c r="AG2" i="4"/>
  <c r="AF2" i="4"/>
  <c r="AE2" i="4"/>
  <c r="AD2" i="4"/>
  <c r="AC2" i="4"/>
  <c r="AB2" i="4"/>
  <c r="AA2" i="4"/>
  <c r="Z2" i="4"/>
  <c r="Y2" i="4"/>
  <c r="X2" i="4"/>
  <c r="W2" i="4"/>
  <c r="V2" i="4"/>
  <c r="U2" i="4"/>
  <c r="T2" i="4"/>
  <c r="S2" i="4"/>
  <c r="R2" i="4"/>
  <c r="Q2" i="4"/>
  <c r="P2" i="4"/>
  <c r="O2" i="4"/>
  <c r="N2" i="4"/>
  <c r="M2" i="4"/>
  <c r="L2" i="4"/>
  <c r="K2" i="4"/>
  <c r="J2" i="4"/>
  <c r="I2" i="4"/>
  <c r="H2" i="4"/>
  <c r="G2" i="4"/>
  <c r="F2" i="4"/>
  <c r="E2" i="4"/>
  <c r="D2" i="4"/>
  <c r="C2" i="4"/>
  <c r="B2" i="4"/>
  <c r="A2" i="4"/>
</calcChain>
</file>

<file path=xl/sharedStrings.xml><?xml version="1.0" encoding="utf-8"?>
<sst xmlns="http://schemas.openxmlformats.org/spreadsheetml/2006/main" count="252" uniqueCount="152">
  <si>
    <t>Player</t>
  </si>
  <si>
    <t>Position</t>
  </si>
  <si>
    <t>xg90</t>
  </si>
  <si>
    <t>npxg90</t>
  </si>
  <si>
    <t>xa90</t>
  </si>
  <si>
    <t>shots90</t>
  </si>
  <si>
    <t>shots_on_target90</t>
  </si>
  <si>
    <t>goals90</t>
  </si>
  <si>
    <t>key_passes90</t>
  </si>
  <si>
    <t>tackles90</t>
  </si>
  <si>
    <t>interceptions90</t>
  </si>
  <si>
    <t>clearances90</t>
  </si>
  <si>
    <t>blocks90</t>
  </si>
  <si>
    <t>ball_recoveries90</t>
  </si>
  <si>
    <t>dribbles90</t>
  </si>
  <si>
    <t>dribble_pct</t>
  </si>
  <si>
    <t>duels_won_pct</t>
  </si>
  <si>
    <t>pass_pct</t>
  </si>
  <si>
    <t>long_balls90</t>
  </si>
  <si>
    <t>long_ball_pct</t>
  </si>
  <si>
    <t>aerials_won90</t>
  </si>
  <si>
    <t>aerials_won_pct</t>
  </si>
  <si>
    <t>assists90</t>
  </si>
  <si>
    <t>big_chances_created90</t>
  </si>
  <si>
    <t>big_chances_missed90</t>
  </si>
  <si>
    <t>possession_lost90</t>
  </si>
  <si>
    <t>penalty_goals90</t>
  </si>
  <si>
    <t>xg_chain90</t>
  </si>
  <si>
    <t>xg_buildup90</t>
  </si>
  <si>
    <t>saves90</t>
  </si>
  <si>
    <t>goals_prevented90</t>
  </si>
  <si>
    <t>clean_sheet_pct</t>
  </si>
  <si>
    <t>goals_conceded90</t>
  </si>
  <si>
    <t>yellow_cards90</t>
  </si>
  <si>
    <t>red_cards90</t>
  </si>
  <si>
    <t>rating</t>
  </si>
  <si>
    <t>Eden Hazard</t>
  </si>
  <si>
    <t>W</t>
  </si>
  <si>
    <t>Luis Suárez</t>
  </si>
  <si>
    <t>ST</t>
  </si>
  <si>
    <t>Sergio Agüero</t>
  </si>
  <si>
    <t>Andrés Iniesta</t>
  </si>
  <si>
    <t>CM</t>
  </si>
  <si>
    <t>Arjen Robben</t>
  </si>
  <si>
    <t>Neymar</t>
  </si>
  <si>
    <t>Gareth Bale</t>
  </si>
  <si>
    <t>Frank Lampard</t>
  </si>
  <si>
    <t>Steven Gerrard</t>
  </si>
  <si>
    <t>Andrea Pirlo</t>
  </si>
  <si>
    <t>DM</t>
  </si>
  <si>
    <t>Yaya Touré</t>
  </si>
  <si>
    <t>Cesc Fàbregas</t>
  </si>
  <si>
    <t>Mesut Özil</t>
  </si>
  <si>
    <t>AM</t>
  </si>
  <si>
    <t>Philipp Lahm</t>
  </si>
  <si>
    <t>FB</t>
  </si>
  <si>
    <t>Ashley Cole</t>
  </si>
  <si>
    <t>Gerard Piqué</t>
  </si>
  <si>
    <t>CB</t>
  </si>
  <si>
    <t>John Terry</t>
  </si>
  <si>
    <t>Nemanja Vidić</t>
  </si>
  <si>
    <t>Thiago Silva</t>
  </si>
  <si>
    <t>Gianluigi Buffon</t>
  </si>
  <si>
    <t>GK</t>
  </si>
  <si>
    <t>Iker Casillas</t>
  </si>
  <si>
    <t>Petr Čech</t>
  </si>
  <si>
    <t>Didier Drogba</t>
  </si>
  <si>
    <t>Lionel Messi</t>
  </si>
  <si>
    <t>Cristiano Ronaldo</t>
  </si>
  <si>
    <t>Pedro Rodríguez</t>
  </si>
  <si>
    <t>Ramires</t>
  </si>
  <si>
    <t>Fernando Redondo</t>
  </si>
  <si>
    <t>Olivier Giroud</t>
  </si>
  <si>
    <t>César Azpilicueta</t>
  </si>
  <si>
    <t>Thomas Müller</t>
  </si>
  <si>
    <t>Tony Adams</t>
  </si>
  <si>
    <t>Patrice Evra</t>
  </si>
  <si>
    <t>Fernando Morientes</t>
  </si>
  <si>
    <t>Robert Pirès</t>
  </si>
  <si>
    <t>Guti</t>
  </si>
  <si>
    <t>James Milner</t>
  </si>
  <si>
    <t>Legend Player Attribute Pack — First-Pass Draft for Review</t>
  </si>
  <si>
    <t>What this is</t>
  </si>
  <si>
    <t>Second-pass, directly-researched 1-20 attribute estimates for the legend players on the 'Legend Attributes' sheet, covering the exact 34 stat fields the live match engine (web/static/tactic_board.js) reads today — not the compressed FM-style category taxonomy from fm_style_player_datapack.xlsx (Finishing/Passing/Tackling/etc). Each attribute maps to ONE specific engine stat field, so the conversion to a per-90 number is a direct, transparent linear scale rather than a multi-stat blend.</t>
  </si>
  <si>
    <t>What changed in this revision</t>
  </si>
  <si>
    <t>The user removed several players, added Messi and Ronaldo, and flagged that the first pass leaned too heavily on shared role-archetype templates — most players within a position looked statistically similar. This pass individualizes every player against specific, well-known career signatures instead (e.g. among the 4 CBs: Piqué is the ball-playing passer who also drew more cards, Terry the all-round leader, Vidić the purest destroyer with the least polished passing, Thiago Silva the elite reader with the highest interceptions and fewest cards) and pushes each player's OWN profile further across the 1-20 range between their genuine strengths and weaknesses, rather than clustering every attribute near the role's center.</t>
  </si>
  <si>
    <t>How the conversion works</t>
  </si>
  <si>
    <t>The 'Conversion Range' sheet defines a realistic (min, max) per-90 range for each field, sourced from the same reference ceilings the engine already uses (formation_fit.py's STAT_CAPS) plus general knowledge of realistic top-5-league distributions. An attribute of 1 maps to the field's min, 20 maps to its max, and values in between are a straight linear interpolation. The 'Converted Per-90 Preview' sheet computes this live via formula — edit any attribute on the 'Legend Attributes' sheet and the preview updates.</t>
  </si>
  <si>
    <t>Attribute 0 = not applicable</t>
  </si>
  <si>
    <t>A handful of cells use 0 instead of 1-20 -- a deliberate sentinel for a field that genuinely doesn't apply (an outfield player's saves90/goals_prevented90/clean_sheet_pct, a goalkeeper's xg90/shots90/goals90/etc). These always convert to exactly 0, not the field's normal min. Every other cell is a real 1-20 judgment.</t>
  </si>
  <si>
    <t>Inverted fields</t>
  </si>
  <si>
    <t>Five fields (big_chances_missed90, possession_lost90, goals_conceded90, yellow_cards90, red_cards90) are marked inverted on the Conversion Range sheet: for these, a HIGH attribute (near 20, meaning 'good') maps to a LOW raw stat, since fewer cards/turnovers/wasted chances is the better outcome. This keeps '20 = best' consistent across every attribute, unlike a raw stat where higher isn't always better.</t>
  </si>
  <si>
    <t>Status — NOT YET WIRED INTO THE ENGINE</t>
  </si>
  <si>
    <t>This is a research draft for your review only. Nothing here changes match behavior yet. Once you've corrected/approved values, the next step is writing the converted numbers into data/manual_profiles.xlsx (or .json) using the schema manual_profiles.py already expects, plus a small fallback hook so an unrecognized roster name checks manual_profiles before falling back to an all-zero placeholder — see chat for the fuller explanation.</t>
  </si>
  <si>
    <t>Honest caveat</t>
  </si>
  <si>
    <t>These are reasoned estimates from known playing style and statistical reputation at each player's career peak — not measured data. For players from well before the advanced-stats era (Xavi, Iniesta, Pirlo's early prime, etc.) there is no real per-90 ground truth at all. Treat this as 'plausible and internally consistent', not 'historically rigorous'.</t>
  </si>
  <si>
    <t>Sheets: Conversion Range | Legend Attributes (edit here) | Converted Per-90 Preview (read-only, live formulas)</t>
  </si>
  <si>
    <t>Stat field</t>
  </si>
  <si>
    <t>Label</t>
  </si>
  <si>
    <t>Min (attr=1)</t>
  </si>
  <si>
    <t>Max (attr=20)</t>
  </si>
  <si>
    <t>Inverted?</t>
  </si>
  <si>
    <t>Note</t>
  </si>
  <si>
    <t>xG per 90</t>
  </si>
  <si>
    <t>Non-pen xG per 90</t>
  </si>
  <si>
    <t>xA per 90</t>
  </si>
  <si>
    <t>Shots per 90</t>
  </si>
  <si>
    <t>capped at formation_fit.py STAT_CAPS (4.0)</t>
  </si>
  <si>
    <t>Shots on target per 90</t>
  </si>
  <si>
    <t>Goals per 90</t>
  </si>
  <si>
    <t>Key passes per 90</t>
  </si>
  <si>
    <t>Tackles per 90</t>
  </si>
  <si>
    <t>capped near STAT_CAPS (3.5)</t>
  </si>
  <si>
    <t>Interceptions per 90</t>
  </si>
  <si>
    <t>capped near STAT_CAPS (2.5)</t>
  </si>
  <si>
    <t>Clearances per 90</t>
  </si>
  <si>
    <t>capped near STAT_CAPS (6.0)</t>
  </si>
  <si>
    <t>Blocks per 90</t>
  </si>
  <si>
    <t>Ball recoveries per 90</t>
  </si>
  <si>
    <t>Dribbles per 90</t>
  </si>
  <si>
    <t>capped near STAT_CAPS (3.0)</t>
  </si>
  <si>
    <t>Dribble success %</t>
  </si>
  <si>
    <t>Duels won %</t>
  </si>
  <si>
    <t>Pass completion %</t>
  </si>
  <si>
    <t>Long balls per 90</t>
  </si>
  <si>
    <t>Long ball accuracy %</t>
  </si>
  <si>
    <t>Aerials won per 90</t>
  </si>
  <si>
    <t>Aerial win %</t>
  </si>
  <si>
    <t>Assists per 90</t>
  </si>
  <si>
    <t>Big chances created per 90</t>
  </si>
  <si>
    <t>capped near STAT_CAPS (1.2)</t>
  </si>
  <si>
    <t>Big chances missed per 90</t>
  </si>
  <si>
    <t>INVERTED -- 20 = clinical/rarely wastes</t>
  </si>
  <si>
    <t>Possession lost per 90</t>
  </si>
  <si>
    <t>INVERTED -- 20 = very secure on the ball</t>
  </si>
  <si>
    <t>Penalty goals per 90</t>
  </si>
  <si>
    <t>xG chain per 90</t>
  </si>
  <si>
    <t>involvement in shot-ending possessions</t>
  </si>
  <si>
    <t>xG buildup per 90</t>
  </si>
  <si>
    <t>involvement excluding own shots/assists</t>
  </si>
  <si>
    <t>Saves per 90 (GK)</t>
  </si>
  <si>
    <t>capped at STAT_CAPS (4.5); ~0 for outfield</t>
  </si>
  <si>
    <t>Goals prevented per 90 (GK)</t>
  </si>
  <si>
    <t>post-shot xG minus goals conceded; can be negative</t>
  </si>
  <si>
    <t>Clean sheet % (GK)</t>
  </si>
  <si>
    <t>Team goals conceded per 90</t>
  </si>
  <si>
    <t>INVERTED -- 20 = played for a stingy defense</t>
  </si>
  <si>
    <t>Yellow cards per 90</t>
  </si>
  <si>
    <t>INVERTED -- 20 = very disciplined</t>
  </si>
  <si>
    <t>Red cards per 90</t>
  </si>
  <si>
    <t>Average match rating</t>
  </si>
  <si>
    <t>realistic top-tier career-peak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</si>
</sst>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1F4E78"/>
      <name val="Arial"/>
      <family val="2"/>
    </font>
    <font>
      <b/>
      <sz val="11"/>
      <color rgb="FF1F4E78"/>
      <name val="Arial"/>
      <family val="2"/>
    </font>
    <font>
      <sz val="10"/>
      <name val="Arial"/>
      <family val="2"/>
    </font>
    <font>
      <i/>
      <sz val="9"/>
      <color rgb="FF595959"/>
      <name val="Arial"/>
      <family val="2"/>
    </font>
    <font>
      <b/>
      <sz val="10"/>
      <color rgb="FFFFFFFF"/>
      <name val="Arial"/>
      <family val="2"/>
    </font>
    <font>
      <sz val="10"/>
      <color rgb="FF0000FF"/>
      <name val="Arial"/>
      <family val="2"/>
    </font>
    <font>
      <sz val="10"/>
      <color rgb="FF000000"/>
      <name val="Arial"/>
      <family val="2"/>
    </font>
  </fonts>
  <fills count="3">
    <fill>
      <patternFill patternType="none"/>
    </fill>
    <fill>
      <patternFill patternType="gray125"/>
    </fill>
    <fill>
      <patternFill patternType="solid">
        <fgColor rgb="FF1F4E78"/>
        <bgColor rgb="FF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2" borderId="1" xfId="0" applyFont="1" applyFill="1" applyBorder="1" applyAlignment="1">
      <alignment horizontal="center" vertical="center"/>
    </xf>
    <xf numFmtId="0" fontId="3" fillId="0" borderId="1" xfId="0" applyFont="1" applyBorder="1" applyAlignment="1">
      <alignment vertical="center"/>
    </xf>
    <xf numFmtId="0" fontId="6" fillId="0" borderId="1" xfId="0" applyFont="1" applyBorder="1" applyAlignment="1">
      <alignment vertical="center"/>
    </xf>
    <xf numFmtId="0" fontId="4" fillId="0" borderId="1" xfId="0" applyFont="1" applyBorder="1" applyAlignment="1">
      <alignment vertical="top" wrapText="1"/>
    </xf>
    <xf numFmtId="0" fontId="5" fillId="2" borderId="1" xfId="0" applyFont="1" applyFill="1" applyBorder="1"/>
    <xf numFmtId="0" fontId="5" fillId="2" borderId="1" xfId="0" applyFont="1" applyFill="1" applyBorder="1" applyAlignment="1">
      <alignment horizontal="center" textRotation="90"/>
    </xf>
    <xf numFmtId="0" fontId="3" fillId="0" borderId="1" xfId="0" applyFont="1" applyBorder="1"/>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xf numFmtId="0" fontId="7" fillId="0" borderId="1" xfId="0" applyFont="1" applyBorder="1" applyAlignment="1">
      <alignment horizontal="center" vertical="center"/>
    </xf>
    <xf numFmtId="0" fontId="3" fillId="0" borderId="2" xfId="0" applyFont="1" applyBorder="1"/>
    <xf numFmtId="0" fontId="3" fillId="0" borderId="2" xfId="0" applyFont="1" applyBorder="1" applyAlignment="1">
      <alignment horizontal="center" vertical="center"/>
    </xf>
    <xf numFmtId="0" fontId="6" fillId="0" borderId="2"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showGridLines="0" workbookViewId="0"/>
  </sheetViews>
  <sheetFormatPr defaultRowHeight="14.5" x14ac:dyDescent="0.35"/>
  <cols>
    <col min="1" max="1" width="100" customWidth="1"/>
  </cols>
  <sheetData>
    <row r="1" spans="1:1" ht="18" customHeight="1" x14ac:dyDescent="0.4">
      <c r="A1" s="1" t="s">
        <v>81</v>
      </c>
    </row>
    <row r="3" spans="1:1" x14ac:dyDescent="0.35">
      <c r="A3" s="2" t="s">
        <v>82</v>
      </c>
    </row>
    <row r="4" spans="1:1" ht="105" customHeight="1" x14ac:dyDescent="0.35">
      <c r="A4" s="3" t="s">
        <v>83</v>
      </c>
    </row>
    <row r="6" spans="1:1" x14ac:dyDescent="0.35">
      <c r="A6" s="2" t="s">
        <v>84</v>
      </c>
    </row>
    <row r="7" spans="1:1" ht="135" customHeight="1" x14ac:dyDescent="0.35">
      <c r="A7" s="3" t="s">
        <v>85</v>
      </c>
    </row>
    <row r="9" spans="1:1" x14ac:dyDescent="0.35">
      <c r="A9" s="2" t="s">
        <v>86</v>
      </c>
    </row>
    <row r="10" spans="1:1" ht="105" customHeight="1" x14ac:dyDescent="0.35">
      <c r="A10" s="3" t="s">
        <v>87</v>
      </c>
    </row>
    <row r="12" spans="1:1" x14ac:dyDescent="0.35">
      <c r="A12" s="2" t="s">
        <v>88</v>
      </c>
    </row>
    <row r="13" spans="1:1" ht="75" customHeight="1" x14ac:dyDescent="0.35">
      <c r="A13" s="3" t="s">
        <v>89</v>
      </c>
    </row>
    <row r="15" spans="1:1" x14ac:dyDescent="0.35">
      <c r="A15" s="2" t="s">
        <v>90</v>
      </c>
    </row>
    <row r="16" spans="1:1" ht="90" customHeight="1" x14ac:dyDescent="0.35">
      <c r="A16" s="3" t="s">
        <v>91</v>
      </c>
    </row>
    <row r="18" spans="1:1" x14ac:dyDescent="0.35">
      <c r="A18" s="2" t="s">
        <v>92</v>
      </c>
    </row>
    <row r="19" spans="1:1" ht="90" customHeight="1" x14ac:dyDescent="0.35">
      <c r="A19" s="3" t="s">
        <v>93</v>
      </c>
    </row>
    <row r="21" spans="1:1" x14ac:dyDescent="0.35">
      <c r="A21" s="2" t="s">
        <v>94</v>
      </c>
    </row>
    <row r="22" spans="1:1" ht="75" customHeight="1" x14ac:dyDescent="0.35">
      <c r="A22" s="3" t="s">
        <v>95</v>
      </c>
    </row>
    <row r="24" spans="1:1" x14ac:dyDescent="0.35">
      <c r="A24" s="4" t="s">
        <v>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5"/>
  <sheetViews>
    <sheetView showGridLines="0" workbookViewId="0">
      <pane ySplit="1" topLeftCell="A17" activePane="bottomLeft" state="frozen"/>
      <selection pane="bottomLeft"/>
    </sheetView>
  </sheetViews>
  <sheetFormatPr defaultRowHeight="14.5" x14ac:dyDescent="0.35"/>
  <cols>
    <col min="1" max="1" width="24" customWidth="1"/>
    <col min="2" max="2" width="26" customWidth="1"/>
    <col min="3" max="4" width="13" customWidth="1"/>
    <col min="5" max="5" width="10" customWidth="1"/>
    <col min="6" max="6" width="46" customWidth="1"/>
  </cols>
  <sheetData>
    <row r="1" spans="1:6" x14ac:dyDescent="0.35">
      <c r="A1" s="5" t="s">
        <v>97</v>
      </c>
      <c r="B1" s="5" t="s">
        <v>98</v>
      </c>
      <c r="C1" s="5" t="s">
        <v>99</v>
      </c>
      <c r="D1" s="5" t="s">
        <v>100</v>
      </c>
      <c r="E1" s="5" t="s">
        <v>101</v>
      </c>
      <c r="F1" s="5" t="s">
        <v>102</v>
      </c>
    </row>
    <row r="2" spans="1:6" x14ac:dyDescent="0.35">
      <c r="A2" s="6" t="s">
        <v>2</v>
      </c>
      <c r="B2" s="6" t="s">
        <v>103</v>
      </c>
      <c r="C2" s="7">
        <v>0.02</v>
      </c>
      <c r="D2" s="7">
        <v>0.85</v>
      </c>
      <c r="E2" s="7">
        <v>0</v>
      </c>
      <c r="F2" s="8"/>
    </row>
    <row r="3" spans="1:6" x14ac:dyDescent="0.35">
      <c r="A3" s="6" t="s">
        <v>3</v>
      </c>
      <c r="B3" s="6" t="s">
        <v>104</v>
      </c>
      <c r="C3" s="7">
        <v>0.02</v>
      </c>
      <c r="D3" s="7">
        <v>0.75</v>
      </c>
      <c r="E3" s="7">
        <v>0</v>
      </c>
      <c r="F3" s="8"/>
    </row>
    <row r="4" spans="1:6" x14ac:dyDescent="0.35">
      <c r="A4" s="6" t="s">
        <v>4</v>
      </c>
      <c r="B4" s="6" t="s">
        <v>105</v>
      </c>
      <c r="C4" s="7">
        <v>0.01</v>
      </c>
      <c r="D4" s="7">
        <v>0.55000000000000004</v>
      </c>
      <c r="E4" s="7">
        <v>0</v>
      </c>
      <c r="F4" s="8"/>
    </row>
    <row r="5" spans="1:6" x14ac:dyDescent="0.35">
      <c r="A5" s="6" t="s">
        <v>5</v>
      </c>
      <c r="B5" s="6" t="s">
        <v>106</v>
      </c>
      <c r="C5" s="7">
        <v>0.15</v>
      </c>
      <c r="D5" s="7">
        <v>4</v>
      </c>
      <c r="E5" s="7">
        <v>0</v>
      </c>
      <c r="F5" s="8" t="s">
        <v>107</v>
      </c>
    </row>
    <row r="6" spans="1:6" x14ac:dyDescent="0.35">
      <c r="A6" s="6" t="s">
        <v>6</v>
      </c>
      <c r="B6" s="6" t="s">
        <v>108</v>
      </c>
      <c r="C6" s="7">
        <v>0.08</v>
      </c>
      <c r="D6" s="7">
        <v>2.2999999999999998</v>
      </c>
      <c r="E6" s="7">
        <v>0</v>
      </c>
      <c r="F6" s="8"/>
    </row>
    <row r="7" spans="1:6" x14ac:dyDescent="0.35">
      <c r="A7" s="6" t="s">
        <v>7</v>
      </c>
      <c r="B7" s="6" t="s">
        <v>109</v>
      </c>
      <c r="C7" s="7">
        <v>0</v>
      </c>
      <c r="D7" s="7">
        <v>1</v>
      </c>
      <c r="E7" s="7">
        <v>0</v>
      </c>
      <c r="F7" s="8"/>
    </row>
    <row r="8" spans="1:6" x14ac:dyDescent="0.35">
      <c r="A8" s="6" t="s">
        <v>8</v>
      </c>
      <c r="B8" s="6" t="s">
        <v>110</v>
      </c>
      <c r="C8" s="7">
        <v>0.1</v>
      </c>
      <c r="D8" s="7">
        <v>2.6</v>
      </c>
      <c r="E8" s="7">
        <v>0</v>
      </c>
      <c r="F8" s="8"/>
    </row>
    <row r="9" spans="1:6" x14ac:dyDescent="0.35">
      <c r="A9" s="6" t="s">
        <v>9</v>
      </c>
      <c r="B9" s="6" t="s">
        <v>111</v>
      </c>
      <c r="C9" s="7">
        <v>0.2</v>
      </c>
      <c r="D9" s="7">
        <v>3.3</v>
      </c>
      <c r="E9" s="7">
        <v>0</v>
      </c>
      <c r="F9" s="8" t="s">
        <v>112</v>
      </c>
    </row>
    <row r="10" spans="1:6" x14ac:dyDescent="0.35">
      <c r="A10" s="6" t="s">
        <v>10</v>
      </c>
      <c r="B10" s="6" t="s">
        <v>113</v>
      </c>
      <c r="C10" s="7">
        <v>0.1</v>
      </c>
      <c r="D10" s="7">
        <v>2.2999999999999998</v>
      </c>
      <c r="E10" s="7">
        <v>0</v>
      </c>
      <c r="F10" s="8" t="s">
        <v>114</v>
      </c>
    </row>
    <row r="11" spans="1:6" x14ac:dyDescent="0.35">
      <c r="A11" s="6" t="s">
        <v>11</v>
      </c>
      <c r="B11" s="6" t="s">
        <v>115</v>
      </c>
      <c r="C11" s="7">
        <v>0</v>
      </c>
      <c r="D11" s="7">
        <v>6.2</v>
      </c>
      <c r="E11" s="7">
        <v>0</v>
      </c>
      <c r="F11" s="8" t="s">
        <v>116</v>
      </c>
    </row>
    <row r="12" spans="1:6" x14ac:dyDescent="0.35">
      <c r="A12" s="6" t="s">
        <v>12</v>
      </c>
      <c r="B12" s="6" t="s">
        <v>117</v>
      </c>
      <c r="C12" s="7">
        <v>0</v>
      </c>
      <c r="D12" s="7">
        <v>1.6</v>
      </c>
      <c r="E12" s="7">
        <v>0</v>
      </c>
      <c r="F12" s="8"/>
    </row>
    <row r="13" spans="1:6" x14ac:dyDescent="0.35">
      <c r="A13" s="6" t="s">
        <v>13</v>
      </c>
      <c r="B13" s="6" t="s">
        <v>118</v>
      </c>
      <c r="C13" s="7">
        <v>2</v>
      </c>
      <c r="D13" s="7">
        <v>9.5</v>
      </c>
      <c r="E13" s="7">
        <v>0</v>
      </c>
      <c r="F13" s="8"/>
    </row>
    <row r="14" spans="1:6" x14ac:dyDescent="0.35">
      <c r="A14" s="6" t="s">
        <v>14</v>
      </c>
      <c r="B14" s="6" t="s">
        <v>119</v>
      </c>
      <c r="C14" s="7">
        <v>0.1</v>
      </c>
      <c r="D14" s="7">
        <v>3.2</v>
      </c>
      <c r="E14" s="7">
        <v>0</v>
      </c>
      <c r="F14" s="8" t="s">
        <v>120</v>
      </c>
    </row>
    <row r="15" spans="1:6" x14ac:dyDescent="0.35">
      <c r="A15" s="6" t="s">
        <v>15</v>
      </c>
      <c r="B15" s="6" t="s">
        <v>121</v>
      </c>
      <c r="C15" s="7">
        <v>30</v>
      </c>
      <c r="D15" s="7">
        <v>85</v>
      </c>
      <c r="E15" s="7">
        <v>0</v>
      </c>
      <c r="F15" s="8"/>
    </row>
    <row r="16" spans="1:6" x14ac:dyDescent="0.35">
      <c r="A16" s="6" t="s">
        <v>16</v>
      </c>
      <c r="B16" s="6" t="s">
        <v>122</v>
      </c>
      <c r="C16" s="7">
        <v>35</v>
      </c>
      <c r="D16" s="7">
        <v>68</v>
      </c>
      <c r="E16" s="7">
        <v>0</v>
      </c>
      <c r="F16" s="8"/>
    </row>
    <row r="17" spans="1:6" x14ac:dyDescent="0.35">
      <c r="A17" s="6" t="s">
        <v>17</v>
      </c>
      <c r="B17" s="6" t="s">
        <v>123</v>
      </c>
      <c r="C17" s="7">
        <v>55</v>
      </c>
      <c r="D17" s="7">
        <v>95</v>
      </c>
      <c r="E17" s="7">
        <v>0</v>
      </c>
      <c r="F17" s="8"/>
    </row>
    <row r="18" spans="1:6" x14ac:dyDescent="0.35">
      <c r="A18" s="6" t="s">
        <v>18</v>
      </c>
      <c r="B18" s="6" t="s">
        <v>124</v>
      </c>
      <c r="C18" s="7">
        <v>0.3</v>
      </c>
      <c r="D18" s="7">
        <v>8.5</v>
      </c>
      <c r="E18" s="7">
        <v>0</v>
      </c>
      <c r="F18" s="8"/>
    </row>
    <row r="19" spans="1:6" x14ac:dyDescent="0.35">
      <c r="A19" s="6" t="s">
        <v>19</v>
      </c>
      <c r="B19" s="6" t="s">
        <v>125</v>
      </c>
      <c r="C19" s="7">
        <v>25</v>
      </c>
      <c r="D19" s="7">
        <v>68</v>
      </c>
      <c r="E19" s="7">
        <v>0</v>
      </c>
      <c r="F19" s="8"/>
    </row>
    <row r="20" spans="1:6" x14ac:dyDescent="0.35">
      <c r="A20" s="6" t="s">
        <v>20</v>
      </c>
      <c r="B20" s="6" t="s">
        <v>126</v>
      </c>
      <c r="C20" s="7">
        <v>0.3</v>
      </c>
      <c r="D20" s="7">
        <v>5.5</v>
      </c>
      <c r="E20" s="7">
        <v>0</v>
      </c>
      <c r="F20" s="8"/>
    </row>
    <row r="21" spans="1:6" x14ac:dyDescent="0.35">
      <c r="A21" s="6" t="s">
        <v>21</v>
      </c>
      <c r="B21" s="6" t="s">
        <v>127</v>
      </c>
      <c r="C21" s="7">
        <v>30</v>
      </c>
      <c r="D21" s="7">
        <v>75</v>
      </c>
      <c r="E21" s="7">
        <v>0</v>
      </c>
      <c r="F21" s="8"/>
    </row>
    <row r="22" spans="1:6" x14ac:dyDescent="0.35">
      <c r="A22" s="6" t="s">
        <v>22</v>
      </c>
      <c r="B22" s="6" t="s">
        <v>128</v>
      </c>
      <c r="C22" s="7">
        <v>0</v>
      </c>
      <c r="D22" s="7">
        <v>0.5</v>
      </c>
      <c r="E22" s="7">
        <v>0</v>
      </c>
      <c r="F22" s="8"/>
    </row>
    <row r="23" spans="1:6" x14ac:dyDescent="0.35">
      <c r="A23" s="6" t="s">
        <v>23</v>
      </c>
      <c r="B23" s="6" t="s">
        <v>129</v>
      </c>
      <c r="C23" s="7">
        <v>0</v>
      </c>
      <c r="D23" s="7">
        <v>1.1000000000000001</v>
      </c>
      <c r="E23" s="7">
        <v>0</v>
      </c>
      <c r="F23" s="8" t="s">
        <v>130</v>
      </c>
    </row>
    <row r="24" spans="1:6" x14ac:dyDescent="0.35">
      <c r="A24" s="6" t="s">
        <v>24</v>
      </c>
      <c r="B24" s="6" t="s">
        <v>131</v>
      </c>
      <c r="C24" s="7">
        <v>0</v>
      </c>
      <c r="D24" s="7">
        <v>0.9</v>
      </c>
      <c r="E24" s="7">
        <v>1</v>
      </c>
      <c r="F24" s="8" t="s">
        <v>132</v>
      </c>
    </row>
    <row r="25" spans="1:6" x14ac:dyDescent="0.35">
      <c r="A25" s="6" t="s">
        <v>25</v>
      </c>
      <c r="B25" s="6" t="s">
        <v>133</v>
      </c>
      <c r="C25" s="7">
        <v>3.5</v>
      </c>
      <c r="D25" s="7">
        <v>16</v>
      </c>
      <c r="E25" s="7">
        <v>1</v>
      </c>
      <c r="F25" s="8" t="s">
        <v>134</v>
      </c>
    </row>
    <row r="26" spans="1:6" x14ac:dyDescent="0.35">
      <c r="A26" s="6" t="s">
        <v>26</v>
      </c>
      <c r="B26" s="6" t="s">
        <v>135</v>
      </c>
      <c r="C26" s="7">
        <v>0</v>
      </c>
      <c r="D26" s="7">
        <v>0.35</v>
      </c>
      <c r="E26" s="7">
        <v>0</v>
      </c>
      <c r="F26" s="8"/>
    </row>
    <row r="27" spans="1:6" x14ac:dyDescent="0.35">
      <c r="A27" s="6" t="s">
        <v>27</v>
      </c>
      <c r="B27" s="6" t="s">
        <v>136</v>
      </c>
      <c r="C27" s="7">
        <v>0.05</v>
      </c>
      <c r="D27" s="7">
        <v>0.95</v>
      </c>
      <c r="E27" s="7">
        <v>0</v>
      </c>
      <c r="F27" s="8" t="s">
        <v>137</v>
      </c>
    </row>
    <row r="28" spans="1:6" x14ac:dyDescent="0.35">
      <c r="A28" s="6" t="s">
        <v>28</v>
      </c>
      <c r="B28" s="6" t="s">
        <v>138</v>
      </c>
      <c r="C28" s="7">
        <v>0.03</v>
      </c>
      <c r="D28" s="7">
        <v>0.55000000000000004</v>
      </c>
      <c r="E28" s="7">
        <v>0</v>
      </c>
      <c r="F28" s="8" t="s">
        <v>139</v>
      </c>
    </row>
    <row r="29" spans="1:6" x14ac:dyDescent="0.35">
      <c r="A29" s="6" t="s">
        <v>29</v>
      </c>
      <c r="B29" s="6" t="s">
        <v>140</v>
      </c>
      <c r="C29" s="7">
        <v>1</v>
      </c>
      <c r="D29" s="7">
        <v>4.5</v>
      </c>
      <c r="E29" s="7">
        <v>0</v>
      </c>
      <c r="F29" s="8" t="s">
        <v>141</v>
      </c>
    </row>
    <row r="30" spans="1:6" x14ac:dyDescent="0.35">
      <c r="A30" s="6" t="s">
        <v>30</v>
      </c>
      <c r="B30" s="6" t="s">
        <v>142</v>
      </c>
      <c r="C30" s="7">
        <v>-0.3</v>
      </c>
      <c r="D30" s="7">
        <v>0.7</v>
      </c>
      <c r="E30" s="7">
        <v>0</v>
      </c>
      <c r="F30" s="8" t="s">
        <v>143</v>
      </c>
    </row>
    <row r="31" spans="1:6" x14ac:dyDescent="0.35">
      <c r="A31" s="6" t="s">
        <v>31</v>
      </c>
      <c r="B31" s="6" t="s">
        <v>144</v>
      </c>
      <c r="C31" s="7">
        <v>5</v>
      </c>
      <c r="D31" s="7">
        <v>55</v>
      </c>
      <c r="E31" s="7">
        <v>0</v>
      </c>
      <c r="F31" s="8"/>
    </row>
    <row r="32" spans="1:6" x14ac:dyDescent="0.35">
      <c r="A32" s="6" t="s">
        <v>32</v>
      </c>
      <c r="B32" s="6" t="s">
        <v>145</v>
      </c>
      <c r="C32" s="7">
        <v>0.5</v>
      </c>
      <c r="D32" s="7">
        <v>2</v>
      </c>
      <c r="E32" s="7">
        <v>1</v>
      </c>
      <c r="F32" s="8" t="s">
        <v>146</v>
      </c>
    </row>
    <row r="33" spans="1:6" x14ac:dyDescent="0.35">
      <c r="A33" s="6" t="s">
        <v>33</v>
      </c>
      <c r="B33" s="6" t="s">
        <v>147</v>
      </c>
      <c r="C33" s="7">
        <v>0.02</v>
      </c>
      <c r="D33" s="7">
        <v>0.45</v>
      </c>
      <c r="E33" s="7">
        <v>1</v>
      </c>
      <c r="F33" s="8" t="s">
        <v>148</v>
      </c>
    </row>
    <row r="34" spans="1:6" x14ac:dyDescent="0.35">
      <c r="A34" s="6" t="s">
        <v>34</v>
      </c>
      <c r="B34" s="6" t="s">
        <v>149</v>
      </c>
      <c r="C34" s="7">
        <v>0</v>
      </c>
      <c r="D34" s="7">
        <v>0.12</v>
      </c>
      <c r="E34" s="7">
        <v>1</v>
      </c>
      <c r="F34" s="8" t="s">
        <v>148</v>
      </c>
    </row>
    <row r="35" spans="1:6" x14ac:dyDescent="0.35">
      <c r="A35" s="6" t="s">
        <v>35</v>
      </c>
      <c r="B35" s="6" t="s">
        <v>150</v>
      </c>
      <c r="C35" s="7">
        <v>6.4</v>
      </c>
      <c r="D35" s="7">
        <v>8.1999999999999993</v>
      </c>
      <c r="E35" s="7">
        <v>0</v>
      </c>
      <c r="F35" s="8" t="s">
        <v>151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38"/>
  <sheetViews>
    <sheetView showGridLines="0" workbookViewId="0">
      <pane xSplit="2" ySplit="1" topLeftCell="W26" activePane="bottomRight" state="frozen"/>
      <selection pane="topRight"/>
      <selection pane="bottomLeft"/>
      <selection pane="bottomRight" activeCell="A27" sqref="A27:AJ27"/>
    </sheetView>
  </sheetViews>
  <sheetFormatPr defaultRowHeight="14.5" x14ac:dyDescent="0.35"/>
  <cols>
    <col min="1" max="1" width="22" customWidth="1"/>
    <col min="2" max="2" width="8" customWidth="1"/>
    <col min="3" max="36" width="9" customWidth="1"/>
  </cols>
  <sheetData>
    <row r="1" spans="1:36" ht="100" customHeight="1" x14ac:dyDescent="0.35">
      <c r="A1" s="9" t="s">
        <v>0</v>
      </c>
      <c r="B1" s="9"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10" t="s">
        <v>23</v>
      </c>
      <c r="Y1" s="10" t="s">
        <v>24</v>
      </c>
      <c r="Z1" s="10" t="s">
        <v>25</v>
      </c>
      <c r="AA1" s="10" t="s">
        <v>26</v>
      </c>
      <c r="AB1" s="10" t="s">
        <v>27</v>
      </c>
      <c r="AC1" s="10" t="s">
        <v>28</v>
      </c>
      <c r="AD1" s="10" t="s">
        <v>29</v>
      </c>
      <c r="AE1" s="10" t="s">
        <v>30</v>
      </c>
      <c r="AF1" s="10" t="s">
        <v>31</v>
      </c>
      <c r="AG1" s="10" t="s">
        <v>32</v>
      </c>
      <c r="AH1" s="10" t="s">
        <v>33</v>
      </c>
      <c r="AI1" s="10" t="s">
        <v>34</v>
      </c>
      <c r="AJ1" s="10" t="s">
        <v>35</v>
      </c>
    </row>
    <row r="2" spans="1:36" x14ac:dyDescent="0.35">
      <c r="A2" s="11" t="s">
        <v>36</v>
      </c>
      <c r="B2" s="12" t="s">
        <v>37</v>
      </c>
      <c r="C2" s="13">
        <v>14</v>
      </c>
      <c r="D2" s="13">
        <v>14</v>
      </c>
      <c r="E2" s="13">
        <v>17</v>
      </c>
      <c r="F2" s="13">
        <v>12</v>
      </c>
      <c r="G2" s="13">
        <v>12</v>
      </c>
      <c r="H2" s="13">
        <v>14</v>
      </c>
      <c r="I2" s="13">
        <v>16</v>
      </c>
      <c r="J2" s="13">
        <v>6</v>
      </c>
      <c r="K2" s="13">
        <v>5</v>
      </c>
      <c r="L2" s="13">
        <v>1</v>
      </c>
      <c r="M2" s="13">
        <v>3</v>
      </c>
      <c r="N2" s="13">
        <v>7</v>
      </c>
      <c r="O2" s="13">
        <v>19</v>
      </c>
      <c r="P2" s="13">
        <v>17</v>
      </c>
      <c r="Q2" s="13">
        <v>13</v>
      </c>
      <c r="R2" s="13">
        <v>15</v>
      </c>
      <c r="S2" s="13">
        <v>4</v>
      </c>
      <c r="T2" s="13">
        <v>9</v>
      </c>
      <c r="U2" s="13">
        <v>5</v>
      </c>
      <c r="V2" s="13">
        <v>9</v>
      </c>
      <c r="W2" s="13">
        <v>17</v>
      </c>
      <c r="X2" s="13">
        <v>16</v>
      </c>
      <c r="Y2" s="13">
        <v>13</v>
      </c>
      <c r="Z2" s="13">
        <v>12</v>
      </c>
      <c r="AA2" s="13">
        <v>12</v>
      </c>
      <c r="AB2" s="13">
        <v>17</v>
      </c>
      <c r="AC2" s="13">
        <v>16</v>
      </c>
      <c r="AD2" s="13">
        <v>0</v>
      </c>
      <c r="AE2" s="13">
        <v>0</v>
      </c>
      <c r="AF2" s="13">
        <v>0</v>
      </c>
      <c r="AG2" s="13">
        <v>15</v>
      </c>
      <c r="AH2" s="13">
        <v>15</v>
      </c>
      <c r="AI2" s="13">
        <v>17</v>
      </c>
      <c r="AJ2" s="13">
        <v>17</v>
      </c>
    </row>
    <row r="3" spans="1:36" x14ac:dyDescent="0.35">
      <c r="A3" s="11" t="s">
        <v>38</v>
      </c>
      <c r="B3" s="12" t="s">
        <v>39</v>
      </c>
      <c r="C3" s="13">
        <v>17</v>
      </c>
      <c r="D3" s="13">
        <v>16</v>
      </c>
      <c r="E3" s="13">
        <v>14</v>
      </c>
      <c r="F3" s="13">
        <v>16</v>
      </c>
      <c r="G3" s="13">
        <v>15</v>
      </c>
      <c r="H3" s="13">
        <v>17</v>
      </c>
      <c r="I3" s="13">
        <v>12</v>
      </c>
      <c r="J3" s="13">
        <v>7</v>
      </c>
      <c r="K3" s="13">
        <v>6</v>
      </c>
      <c r="L3" s="13">
        <v>2</v>
      </c>
      <c r="M3" s="13">
        <v>3</v>
      </c>
      <c r="N3" s="13">
        <v>9</v>
      </c>
      <c r="O3" s="13">
        <v>15</v>
      </c>
      <c r="P3" s="13">
        <v>15</v>
      </c>
      <c r="Q3" s="13">
        <v>15</v>
      </c>
      <c r="R3" s="13">
        <v>13</v>
      </c>
      <c r="S3" s="13">
        <v>4</v>
      </c>
      <c r="T3" s="13">
        <v>8</v>
      </c>
      <c r="U3" s="13">
        <v>11</v>
      </c>
      <c r="V3" s="13">
        <v>12</v>
      </c>
      <c r="W3" s="13">
        <v>14</v>
      </c>
      <c r="X3" s="13">
        <v>12</v>
      </c>
      <c r="Y3" s="13">
        <v>13</v>
      </c>
      <c r="Z3" s="13">
        <v>10</v>
      </c>
      <c r="AA3" s="13">
        <v>14</v>
      </c>
      <c r="AB3" s="13">
        <v>16</v>
      </c>
      <c r="AC3" s="13">
        <v>14</v>
      </c>
      <c r="AD3" s="13">
        <v>0</v>
      </c>
      <c r="AE3" s="13">
        <v>0</v>
      </c>
      <c r="AF3" s="13">
        <v>0</v>
      </c>
      <c r="AG3" s="13">
        <v>14</v>
      </c>
      <c r="AH3" s="13">
        <v>5</v>
      </c>
      <c r="AI3" s="13">
        <v>4</v>
      </c>
      <c r="AJ3" s="13">
        <v>17</v>
      </c>
    </row>
    <row r="4" spans="1:36" x14ac:dyDescent="0.35">
      <c r="A4" s="11" t="s">
        <v>40</v>
      </c>
      <c r="B4" s="12" t="s">
        <v>39</v>
      </c>
      <c r="C4" s="13">
        <v>16</v>
      </c>
      <c r="D4" s="13">
        <v>16</v>
      </c>
      <c r="E4" s="13">
        <v>9</v>
      </c>
      <c r="F4" s="13">
        <v>15</v>
      </c>
      <c r="G4" s="13">
        <v>15</v>
      </c>
      <c r="H4" s="13">
        <v>18</v>
      </c>
      <c r="I4" s="13">
        <v>7</v>
      </c>
      <c r="J4" s="13">
        <v>3</v>
      </c>
      <c r="K4" s="13">
        <v>3</v>
      </c>
      <c r="L4" s="13">
        <v>1</v>
      </c>
      <c r="M4" s="13">
        <v>1</v>
      </c>
      <c r="N4" s="13">
        <v>5</v>
      </c>
      <c r="O4" s="13">
        <v>13</v>
      </c>
      <c r="P4" s="13">
        <v>15</v>
      </c>
      <c r="Q4" s="13">
        <v>10</v>
      </c>
      <c r="R4" s="13">
        <v>12</v>
      </c>
      <c r="S4" s="13">
        <v>2</v>
      </c>
      <c r="T4" s="13">
        <v>6</v>
      </c>
      <c r="U4" s="13">
        <v>7</v>
      </c>
      <c r="V4" s="13">
        <v>9</v>
      </c>
      <c r="W4" s="13">
        <v>8</v>
      </c>
      <c r="X4" s="13">
        <v>8</v>
      </c>
      <c r="Y4" s="13">
        <v>16</v>
      </c>
      <c r="Z4" s="13">
        <v>13</v>
      </c>
      <c r="AA4" s="13">
        <v>16</v>
      </c>
      <c r="AB4" s="13">
        <v>14</v>
      </c>
      <c r="AC4" s="13">
        <v>10</v>
      </c>
      <c r="AD4" s="13">
        <v>0</v>
      </c>
      <c r="AE4" s="13">
        <v>0</v>
      </c>
      <c r="AF4" s="13">
        <v>0</v>
      </c>
      <c r="AG4" s="13">
        <v>12</v>
      </c>
      <c r="AH4" s="13">
        <v>15</v>
      </c>
      <c r="AI4" s="13">
        <v>17</v>
      </c>
      <c r="AJ4" s="13">
        <v>17</v>
      </c>
    </row>
    <row r="5" spans="1:36" x14ac:dyDescent="0.35">
      <c r="A5" s="11" t="s">
        <v>41</v>
      </c>
      <c r="B5" s="12" t="s">
        <v>42</v>
      </c>
      <c r="C5" s="13">
        <v>7</v>
      </c>
      <c r="D5" s="13">
        <v>7</v>
      </c>
      <c r="E5" s="13">
        <v>16</v>
      </c>
      <c r="F5" s="13">
        <v>5</v>
      </c>
      <c r="G5" s="13">
        <v>5</v>
      </c>
      <c r="H5" s="13">
        <v>6</v>
      </c>
      <c r="I5" s="13">
        <v>17</v>
      </c>
      <c r="J5" s="13">
        <v>8</v>
      </c>
      <c r="K5" s="13">
        <v>10</v>
      </c>
      <c r="L5" s="13">
        <v>2</v>
      </c>
      <c r="M5" s="13">
        <v>3</v>
      </c>
      <c r="N5" s="13">
        <v>12</v>
      </c>
      <c r="O5" s="13">
        <v>18</v>
      </c>
      <c r="P5" s="13">
        <v>19</v>
      </c>
      <c r="Q5" s="13">
        <v>10</v>
      </c>
      <c r="R5" s="13">
        <v>20</v>
      </c>
      <c r="S5" s="13">
        <v>9</v>
      </c>
      <c r="T5" s="13">
        <v>14</v>
      </c>
      <c r="U5" s="13">
        <v>3</v>
      </c>
      <c r="V5" s="13">
        <v>6</v>
      </c>
      <c r="W5" s="13">
        <v>16</v>
      </c>
      <c r="X5" s="13">
        <v>15</v>
      </c>
      <c r="Y5" s="13">
        <v>15</v>
      </c>
      <c r="Z5" s="13">
        <v>18</v>
      </c>
      <c r="AA5" s="13">
        <v>5</v>
      </c>
      <c r="AB5" s="13">
        <v>18</v>
      </c>
      <c r="AC5" s="13">
        <v>18</v>
      </c>
      <c r="AD5" s="13">
        <v>0</v>
      </c>
      <c r="AE5" s="13">
        <v>0</v>
      </c>
      <c r="AF5" s="13">
        <v>0</v>
      </c>
      <c r="AG5" s="13">
        <v>17</v>
      </c>
      <c r="AH5" s="13">
        <v>15</v>
      </c>
      <c r="AI5" s="13">
        <v>17</v>
      </c>
      <c r="AJ5" s="13">
        <v>18</v>
      </c>
    </row>
    <row r="6" spans="1:36" x14ac:dyDescent="0.35">
      <c r="A6" s="11" t="s">
        <v>43</v>
      </c>
      <c r="B6" s="12" t="s">
        <v>37</v>
      </c>
      <c r="C6" s="13">
        <v>16</v>
      </c>
      <c r="D6" s="13">
        <v>16</v>
      </c>
      <c r="E6" s="13">
        <v>11</v>
      </c>
      <c r="F6" s="13">
        <v>15</v>
      </c>
      <c r="G6" s="13">
        <v>14</v>
      </c>
      <c r="H6" s="13">
        <v>16</v>
      </c>
      <c r="I6" s="13">
        <v>10</v>
      </c>
      <c r="J6" s="13">
        <v>5</v>
      </c>
      <c r="K6" s="13">
        <v>4</v>
      </c>
      <c r="L6" s="13">
        <v>1</v>
      </c>
      <c r="M6" s="13">
        <v>2</v>
      </c>
      <c r="N6" s="13">
        <v>6</v>
      </c>
      <c r="O6" s="13">
        <v>15</v>
      </c>
      <c r="P6" s="13">
        <v>13</v>
      </c>
      <c r="Q6" s="13">
        <v>12</v>
      </c>
      <c r="R6" s="13">
        <v>13</v>
      </c>
      <c r="S6" s="13">
        <v>3</v>
      </c>
      <c r="T6" s="13">
        <v>8</v>
      </c>
      <c r="U6" s="13">
        <v>4</v>
      </c>
      <c r="V6" s="13">
        <v>8</v>
      </c>
      <c r="W6" s="13">
        <v>11</v>
      </c>
      <c r="X6" s="13">
        <v>10</v>
      </c>
      <c r="Y6" s="13">
        <v>11</v>
      </c>
      <c r="Z6" s="13">
        <v>11</v>
      </c>
      <c r="AA6" s="13">
        <v>6</v>
      </c>
      <c r="AB6" s="13">
        <v>14</v>
      </c>
      <c r="AC6" s="13">
        <v>11</v>
      </c>
      <c r="AD6" s="13">
        <v>0</v>
      </c>
      <c r="AE6" s="13">
        <v>0</v>
      </c>
      <c r="AF6" s="13">
        <v>0</v>
      </c>
      <c r="AG6" s="13">
        <v>15</v>
      </c>
      <c r="AH6" s="13">
        <v>15</v>
      </c>
      <c r="AI6" s="13">
        <v>17</v>
      </c>
      <c r="AJ6" s="13">
        <v>16</v>
      </c>
    </row>
    <row r="7" spans="1:36" x14ac:dyDescent="0.35">
      <c r="A7" s="11" t="s">
        <v>44</v>
      </c>
      <c r="B7" s="12" t="s">
        <v>37</v>
      </c>
      <c r="C7" s="13">
        <v>15</v>
      </c>
      <c r="D7" s="13">
        <v>15</v>
      </c>
      <c r="E7" s="13">
        <v>15</v>
      </c>
      <c r="F7" s="13">
        <v>14</v>
      </c>
      <c r="G7" s="13">
        <v>13</v>
      </c>
      <c r="H7" s="13">
        <v>15</v>
      </c>
      <c r="I7" s="13">
        <v>14</v>
      </c>
      <c r="J7" s="13">
        <v>4</v>
      </c>
      <c r="K7" s="13">
        <v>4</v>
      </c>
      <c r="L7" s="13">
        <v>1</v>
      </c>
      <c r="M7" s="13">
        <v>2</v>
      </c>
      <c r="N7" s="13">
        <v>6</v>
      </c>
      <c r="O7" s="13">
        <v>20</v>
      </c>
      <c r="P7" s="13">
        <v>17</v>
      </c>
      <c r="Q7" s="13">
        <v>12</v>
      </c>
      <c r="R7" s="13">
        <v>14</v>
      </c>
      <c r="S7" s="13">
        <v>4</v>
      </c>
      <c r="T7" s="13">
        <v>9</v>
      </c>
      <c r="U7" s="13">
        <v>4</v>
      </c>
      <c r="V7" s="13">
        <v>8</v>
      </c>
      <c r="W7" s="13">
        <v>15</v>
      </c>
      <c r="X7" s="13">
        <v>14</v>
      </c>
      <c r="Y7" s="13">
        <v>12</v>
      </c>
      <c r="Z7" s="13">
        <v>9</v>
      </c>
      <c r="AA7" s="13">
        <v>13</v>
      </c>
      <c r="AB7" s="13">
        <v>18</v>
      </c>
      <c r="AC7" s="13">
        <v>13</v>
      </c>
      <c r="AD7" s="13">
        <v>0</v>
      </c>
      <c r="AE7" s="13">
        <v>0</v>
      </c>
      <c r="AF7" s="13">
        <v>0</v>
      </c>
      <c r="AG7" s="13">
        <v>15</v>
      </c>
      <c r="AH7" s="13">
        <v>10</v>
      </c>
      <c r="AI7" s="13">
        <v>8</v>
      </c>
      <c r="AJ7" s="13">
        <v>18</v>
      </c>
    </row>
    <row r="8" spans="1:36" x14ac:dyDescent="0.35">
      <c r="A8" s="11" t="s">
        <v>45</v>
      </c>
      <c r="B8" s="12" t="s">
        <v>37</v>
      </c>
      <c r="C8" s="13">
        <v>16</v>
      </c>
      <c r="D8" s="13">
        <v>16</v>
      </c>
      <c r="E8" s="13">
        <v>10</v>
      </c>
      <c r="F8" s="13">
        <v>16</v>
      </c>
      <c r="G8" s="13">
        <v>15</v>
      </c>
      <c r="H8" s="13">
        <v>17</v>
      </c>
      <c r="I8" s="13">
        <v>8</v>
      </c>
      <c r="J8" s="13">
        <v>5</v>
      </c>
      <c r="K8" s="13">
        <v>5</v>
      </c>
      <c r="L8" s="13">
        <v>1</v>
      </c>
      <c r="M8" s="13">
        <v>2</v>
      </c>
      <c r="N8" s="13">
        <v>6</v>
      </c>
      <c r="O8" s="13">
        <v>12</v>
      </c>
      <c r="P8" s="13">
        <v>12</v>
      </c>
      <c r="Q8" s="13">
        <v>14</v>
      </c>
      <c r="R8" s="13">
        <v>12</v>
      </c>
      <c r="S8" s="13">
        <v>4</v>
      </c>
      <c r="T8" s="13">
        <v>9</v>
      </c>
      <c r="U8" s="13">
        <v>11</v>
      </c>
      <c r="V8" s="13">
        <v>12</v>
      </c>
      <c r="W8" s="13">
        <v>9</v>
      </c>
      <c r="X8" s="13">
        <v>8</v>
      </c>
      <c r="Y8" s="13">
        <v>12</v>
      </c>
      <c r="Z8" s="13">
        <v>11</v>
      </c>
      <c r="AA8" s="13">
        <v>9</v>
      </c>
      <c r="AB8" s="13">
        <v>13</v>
      </c>
      <c r="AC8" s="13">
        <v>10</v>
      </c>
      <c r="AD8" s="13">
        <v>0</v>
      </c>
      <c r="AE8" s="13">
        <v>0</v>
      </c>
      <c r="AF8" s="13">
        <v>0</v>
      </c>
      <c r="AG8" s="13">
        <v>16</v>
      </c>
      <c r="AH8" s="13">
        <v>14</v>
      </c>
      <c r="AI8" s="13">
        <v>16</v>
      </c>
      <c r="AJ8" s="13">
        <v>16</v>
      </c>
    </row>
    <row r="9" spans="1:36" x14ac:dyDescent="0.35">
      <c r="A9" s="11" t="s">
        <v>46</v>
      </c>
      <c r="B9" s="12" t="s">
        <v>42</v>
      </c>
      <c r="C9" s="13">
        <v>15</v>
      </c>
      <c r="D9" s="13">
        <v>15</v>
      </c>
      <c r="E9" s="13">
        <v>11</v>
      </c>
      <c r="F9" s="13">
        <v>15</v>
      </c>
      <c r="G9" s="13">
        <v>14</v>
      </c>
      <c r="H9" s="13">
        <v>16</v>
      </c>
      <c r="I9" s="13">
        <v>11</v>
      </c>
      <c r="J9" s="13">
        <v>9</v>
      </c>
      <c r="K9" s="13">
        <v>9</v>
      </c>
      <c r="L9" s="13">
        <v>4</v>
      </c>
      <c r="M9" s="13">
        <v>4</v>
      </c>
      <c r="N9" s="13">
        <v>11</v>
      </c>
      <c r="O9" s="13">
        <v>7</v>
      </c>
      <c r="P9" s="13">
        <v>10</v>
      </c>
      <c r="Q9" s="13">
        <v>11</v>
      </c>
      <c r="R9" s="13">
        <v>15</v>
      </c>
      <c r="S9" s="13">
        <v>7</v>
      </c>
      <c r="T9" s="13">
        <v>12</v>
      </c>
      <c r="U9" s="13">
        <v>10</v>
      </c>
      <c r="V9" s="13">
        <v>11</v>
      </c>
      <c r="W9" s="13">
        <v>10</v>
      </c>
      <c r="X9" s="13">
        <v>13</v>
      </c>
      <c r="Y9" s="13">
        <v>13</v>
      </c>
      <c r="Z9" s="13">
        <v>13</v>
      </c>
      <c r="AA9" s="13">
        <v>18</v>
      </c>
      <c r="AB9" s="13">
        <v>13</v>
      </c>
      <c r="AC9" s="13">
        <v>15</v>
      </c>
      <c r="AD9" s="13">
        <v>0</v>
      </c>
      <c r="AE9" s="13">
        <v>0</v>
      </c>
      <c r="AF9" s="13">
        <v>0</v>
      </c>
      <c r="AG9" s="13">
        <v>13</v>
      </c>
      <c r="AH9" s="13">
        <v>13</v>
      </c>
      <c r="AI9" s="13">
        <v>15</v>
      </c>
      <c r="AJ9" s="13">
        <v>19</v>
      </c>
    </row>
    <row r="10" spans="1:36" x14ac:dyDescent="0.35">
      <c r="A10" s="11" t="s">
        <v>47</v>
      </c>
      <c r="B10" s="12" t="s">
        <v>42</v>
      </c>
      <c r="C10" s="13">
        <v>14</v>
      </c>
      <c r="D10" s="13">
        <v>13</v>
      </c>
      <c r="E10" s="13">
        <v>13</v>
      </c>
      <c r="F10" s="13">
        <v>14</v>
      </c>
      <c r="G10" s="13">
        <v>13</v>
      </c>
      <c r="H10" s="13">
        <v>13</v>
      </c>
      <c r="I10" s="13">
        <v>13</v>
      </c>
      <c r="J10" s="13">
        <v>12</v>
      </c>
      <c r="K10" s="13">
        <v>12</v>
      </c>
      <c r="L10" s="13">
        <v>6</v>
      </c>
      <c r="M10" s="13">
        <v>5</v>
      </c>
      <c r="N10" s="13">
        <v>14</v>
      </c>
      <c r="O10" s="13">
        <v>9</v>
      </c>
      <c r="P10" s="13">
        <v>11</v>
      </c>
      <c r="Q10" s="13">
        <v>14</v>
      </c>
      <c r="R10" s="13">
        <v>14</v>
      </c>
      <c r="S10" s="13">
        <v>11</v>
      </c>
      <c r="T10" s="13">
        <v>14</v>
      </c>
      <c r="U10" s="13">
        <v>10</v>
      </c>
      <c r="V10" s="13">
        <v>11</v>
      </c>
      <c r="W10" s="13">
        <v>12</v>
      </c>
      <c r="X10" s="13">
        <v>14</v>
      </c>
      <c r="Y10" s="13">
        <v>10</v>
      </c>
      <c r="Z10" s="13">
        <v>11</v>
      </c>
      <c r="AA10" s="13">
        <v>12</v>
      </c>
      <c r="AB10" s="13">
        <v>15</v>
      </c>
      <c r="AC10" s="13">
        <v>15</v>
      </c>
      <c r="AD10" s="13">
        <v>0</v>
      </c>
      <c r="AE10" s="13">
        <v>0</v>
      </c>
      <c r="AF10" s="13">
        <v>0</v>
      </c>
      <c r="AG10" s="13">
        <v>10</v>
      </c>
      <c r="AH10" s="13">
        <v>9</v>
      </c>
      <c r="AI10" s="13">
        <v>10</v>
      </c>
      <c r="AJ10" s="13">
        <v>17</v>
      </c>
    </row>
    <row r="11" spans="1:36" x14ac:dyDescent="0.35">
      <c r="A11" s="11" t="s">
        <v>48</v>
      </c>
      <c r="B11" s="12" t="s">
        <v>49</v>
      </c>
      <c r="C11" s="13">
        <v>4</v>
      </c>
      <c r="D11" s="13">
        <v>4</v>
      </c>
      <c r="E11" s="13">
        <v>14</v>
      </c>
      <c r="F11" s="13">
        <v>6</v>
      </c>
      <c r="G11" s="13">
        <v>5</v>
      </c>
      <c r="H11" s="13">
        <v>5</v>
      </c>
      <c r="I11" s="13">
        <v>16</v>
      </c>
      <c r="J11" s="13">
        <v>7</v>
      </c>
      <c r="K11" s="13">
        <v>11</v>
      </c>
      <c r="L11" s="13">
        <v>3</v>
      </c>
      <c r="M11" s="13">
        <v>3</v>
      </c>
      <c r="N11" s="13">
        <v>13</v>
      </c>
      <c r="O11" s="13">
        <v>7</v>
      </c>
      <c r="P11" s="13">
        <v>14</v>
      </c>
      <c r="Q11" s="13">
        <v>8</v>
      </c>
      <c r="R11" s="13">
        <v>20</v>
      </c>
      <c r="S11" s="13">
        <v>19</v>
      </c>
      <c r="T11" s="13">
        <v>19</v>
      </c>
      <c r="U11" s="13">
        <v>4</v>
      </c>
      <c r="V11" s="13">
        <v>7</v>
      </c>
      <c r="W11" s="13">
        <v>12</v>
      </c>
      <c r="X11" s="13">
        <v>14</v>
      </c>
      <c r="Y11" s="13">
        <v>15</v>
      </c>
      <c r="Z11" s="13">
        <v>18</v>
      </c>
      <c r="AA11" s="13">
        <v>8</v>
      </c>
      <c r="AB11" s="13">
        <v>17</v>
      </c>
      <c r="AC11" s="13">
        <v>19</v>
      </c>
      <c r="AD11" s="13">
        <v>0</v>
      </c>
      <c r="AE11" s="13">
        <v>0</v>
      </c>
      <c r="AF11" s="13">
        <v>0</v>
      </c>
      <c r="AG11" s="13">
        <v>15</v>
      </c>
      <c r="AH11" s="13">
        <v>14</v>
      </c>
      <c r="AI11" s="13">
        <v>17</v>
      </c>
      <c r="AJ11" s="13">
        <v>17</v>
      </c>
    </row>
    <row r="12" spans="1:36" x14ac:dyDescent="0.35">
      <c r="A12" s="11" t="s">
        <v>50</v>
      </c>
      <c r="B12" s="12" t="s">
        <v>42</v>
      </c>
      <c r="C12" s="13">
        <v>13</v>
      </c>
      <c r="D12" s="13">
        <v>12</v>
      </c>
      <c r="E12" s="13">
        <v>9</v>
      </c>
      <c r="F12" s="13">
        <v>12</v>
      </c>
      <c r="G12" s="13">
        <v>10</v>
      </c>
      <c r="H12" s="13">
        <v>12</v>
      </c>
      <c r="I12" s="13">
        <v>9</v>
      </c>
      <c r="J12" s="13">
        <v>10</v>
      </c>
      <c r="K12" s="13">
        <v>9</v>
      </c>
      <c r="L12" s="13">
        <v>5</v>
      </c>
      <c r="M12" s="13">
        <v>4</v>
      </c>
      <c r="N12" s="13">
        <v>12</v>
      </c>
      <c r="O12" s="13">
        <v>12</v>
      </c>
      <c r="P12" s="13">
        <v>13</v>
      </c>
      <c r="Q12" s="13">
        <v>16</v>
      </c>
      <c r="R12" s="13">
        <v>13</v>
      </c>
      <c r="S12" s="13">
        <v>7</v>
      </c>
      <c r="T12" s="13">
        <v>10</v>
      </c>
      <c r="U12" s="13">
        <v>12</v>
      </c>
      <c r="V12" s="13">
        <v>13</v>
      </c>
      <c r="W12" s="13">
        <v>8</v>
      </c>
      <c r="X12" s="13">
        <v>7</v>
      </c>
      <c r="Y12" s="13">
        <v>10</v>
      </c>
      <c r="Z12" s="13">
        <v>10</v>
      </c>
      <c r="AA12" s="13">
        <v>8</v>
      </c>
      <c r="AB12" s="13">
        <v>12</v>
      </c>
      <c r="AC12" s="13">
        <v>12</v>
      </c>
      <c r="AD12" s="13">
        <v>0</v>
      </c>
      <c r="AE12" s="13">
        <v>0</v>
      </c>
      <c r="AF12" s="13">
        <v>0</v>
      </c>
      <c r="AG12" s="13">
        <v>13</v>
      </c>
      <c r="AH12" s="13">
        <v>10</v>
      </c>
      <c r="AI12" s="13">
        <v>11</v>
      </c>
      <c r="AJ12" s="13">
        <v>16</v>
      </c>
    </row>
    <row r="13" spans="1:36" x14ac:dyDescent="0.35">
      <c r="A13" s="11" t="s">
        <v>51</v>
      </c>
      <c r="B13" s="12" t="s">
        <v>42</v>
      </c>
      <c r="C13" s="13">
        <v>9</v>
      </c>
      <c r="D13" s="13">
        <v>9</v>
      </c>
      <c r="E13" s="13">
        <v>18</v>
      </c>
      <c r="F13" s="13">
        <v>9</v>
      </c>
      <c r="G13" s="13">
        <v>7</v>
      </c>
      <c r="H13" s="13">
        <v>9</v>
      </c>
      <c r="I13" s="13">
        <v>19</v>
      </c>
      <c r="J13" s="13">
        <v>7</v>
      </c>
      <c r="K13" s="13">
        <v>8</v>
      </c>
      <c r="L13" s="13">
        <v>2</v>
      </c>
      <c r="M13" s="13">
        <v>3</v>
      </c>
      <c r="N13" s="13">
        <v>10</v>
      </c>
      <c r="O13" s="13">
        <v>10</v>
      </c>
      <c r="P13" s="13">
        <v>12</v>
      </c>
      <c r="Q13" s="13">
        <v>8</v>
      </c>
      <c r="R13" s="13">
        <v>16</v>
      </c>
      <c r="S13" s="13">
        <v>11</v>
      </c>
      <c r="T13" s="13">
        <v>15</v>
      </c>
      <c r="U13" s="13">
        <v>4</v>
      </c>
      <c r="V13" s="13">
        <v>7</v>
      </c>
      <c r="W13" s="13">
        <v>18</v>
      </c>
      <c r="X13" s="13">
        <v>18</v>
      </c>
      <c r="Y13" s="13">
        <v>12</v>
      </c>
      <c r="Z13" s="13">
        <v>12</v>
      </c>
      <c r="AA13" s="13">
        <v>6</v>
      </c>
      <c r="AB13" s="13">
        <v>17</v>
      </c>
      <c r="AC13" s="13">
        <v>16</v>
      </c>
      <c r="AD13" s="13">
        <v>0</v>
      </c>
      <c r="AE13" s="13">
        <v>0</v>
      </c>
      <c r="AF13" s="13">
        <v>0</v>
      </c>
      <c r="AG13" s="13">
        <v>11</v>
      </c>
      <c r="AH13" s="13">
        <v>13</v>
      </c>
      <c r="AI13" s="13">
        <v>15</v>
      </c>
      <c r="AJ13" s="13">
        <v>16</v>
      </c>
    </row>
    <row r="14" spans="1:36" x14ac:dyDescent="0.35">
      <c r="A14" s="11" t="s">
        <v>52</v>
      </c>
      <c r="B14" s="12" t="s">
        <v>53</v>
      </c>
      <c r="C14" s="13">
        <v>8</v>
      </c>
      <c r="D14" s="13">
        <v>8</v>
      </c>
      <c r="E14" s="13">
        <v>19</v>
      </c>
      <c r="F14" s="13">
        <v>6</v>
      </c>
      <c r="G14" s="13">
        <v>5</v>
      </c>
      <c r="H14" s="13">
        <v>7</v>
      </c>
      <c r="I14" s="13">
        <v>19</v>
      </c>
      <c r="J14" s="13">
        <v>4</v>
      </c>
      <c r="K14" s="13">
        <v>5</v>
      </c>
      <c r="L14" s="13">
        <v>1</v>
      </c>
      <c r="M14" s="13">
        <v>2</v>
      </c>
      <c r="N14" s="13">
        <v>6</v>
      </c>
      <c r="O14" s="13">
        <v>12</v>
      </c>
      <c r="P14" s="13">
        <v>14</v>
      </c>
      <c r="Q14" s="13">
        <v>7</v>
      </c>
      <c r="R14" s="13">
        <v>16</v>
      </c>
      <c r="S14" s="13">
        <v>7</v>
      </c>
      <c r="T14" s="13">
        <v>11</v>
      </c>
      <c r="U14" s="13">
        <v>3</v>
      </c>
      <c r="V14" s="13">
        <v>6</v>
      </c>
      <c r="W14" s="13">
        <v>19</v>
      </c>
      <c r="X14" s="13">
        <v>19</v>
      </c>
      <c r="Y14" s="13">
        <v>13</v>
      </c>
      <c r="Z14" s="13">
        <v>12</v>
      </c>
      <c r="AA14" s="13">
        <v>2</v>
      </c>
      <c r="AB14" s="13">
        <v>16</v>
      </c>
      <c r="AC14" s="13">
        <v>13</v>
      </c>
      <c r="AD14" s="13">
        <v>0</v>
      </c>
      <c r="AE14" s="13">
        <v>0</v>
      </c>
      <c r="AF14" s="13">
        <v>0</v>
      </c>
      <c r="AG14" s="13">
        <v>13</v>
      </c>
      <c r="AH14" s="13">
        <v>17</v>
      </c>
      <c r="AI14" s="13">
        <v>18</v>
      </c>
      <c r="AJ14" s="13">
        <v>16</v>
      </c>
    </row>
    <row r="15" spans="1:36" x14ac:dyDescent="0.35">
      <c r="A15" s="11" t="s">
        <v>54</v>
      </c>
      <c r="B15" s="12" t="s">
        <v>55</v>
      </c>
      <c r="C15" s="13">
        <v>4</v>
      </c>
      <c r="D15" s="13">
        <v>4</v>
      </c>
      <c r="E15" s="13">
        <v>11</v>
      </c>
      <c r="F15" s="13">
        <v>4</v>
      </c>
      <c r="G15" s="13">
        <v>3</v>
      </c>
      <c r="H15" s="13">
        <v>3</v>
      </c>
      <c r="I15" s="13">
        <v>13</v>
      </c>
      <c r="J15" s="13">
        <v>12</v>
      </c>
      <c r="K15" s="13">
        <v>14</v>
      </c>
      <c r="L15" s="13">
        <v>6</v>
      </c>
      <c r="M15" s="13">
        <v>5</v>
      </c>
      <c r="N15" s="13">
        <v>14</v>
      </c>
      <c r="O15" s="13">
        <v>11</v>
      </c>
      <c r="P15" s="13">
        <v>16</v>
      </c>
      <c r="Q15" s="13">
        <v>12</v>
      </c>
      <c r="R15" s="13">
        <v>18</v>
      </c>
      <c r="S15" s="13">
        <v>11</v>
      </c>
      <c r="T15" s="13">
        <v>15</v>
      </c>
      <c r="U15" s="13">
        <v>6</v>
      </c>
      <c r="V15" s="13">
        <v>9</v>
      </c>
      <c r="W15" s="13">
        <v>10</v>
      </c>
      <c r="X15" s="13">
        <v>11</v>
      </c>
      <c r="Y15" s="13">
        <v>15</v>
      </c>
      <c r="Z15" s="13">
        <v>18</v>
      </c>
      <c r="AA15" s="13">
        <v>1</v>
      </c>
      <c r="AB15" s="13">
        <v>14</v>
      </c>
      <c r="AC15" s="13">
        <v>16</v>
      </c>
      <c r="AD15" s="13">
        <v>0</v>
      </c>
      <c r="AE15" s="13">
        <v>0</v>
      </c>
      <c r="AF15" s="13">
        <v>0</v>
      </c>
      <c r="AG15" s="13">
        <v>17</v>
      </c>
      <c r="AH15" s="13">
        <v>18</v>
      </c>
      <c r="AI15" s="13">
        <v>19</v>
      </c>
      <c r="AJ15" s="13">
        <v>17</v>
      </c>
    </row>
    <row r="16" spans="1:36" x14ac:dyDescent="0.35">
      <c r="A16" s="11" t="s">
        <v>56</v>
      </c>
      <c r="B16" s="12" t="s">
        <v>55</v>
      </c>
      <c r="C16" s="13">
        <v>1</v>
      </c>
      <c r="D16" s="13">
        <v>1</v>
      </c>
      <c r="E16" s="13">
        <v>6</v>
      </c>
      <c r="F16" s="13">
        <v>2</v>
      </c>
      <c r="G16" s="13">
        <v>1</v>
      </c>
      <c r="H16" s="13">
        <v>1</v>
      </c>
      <c r="I16" s="13">
        <v>6</v>
      </c>
      <c r="J16" s="13">
        <v>17</v>
      </c>
      <c r="K16" s="13">
        <v>16</v>
      </c>
      <c r="L16" s="13">
        <v>9</v>
      </c>
      <c r="M16" s="13">
        <v>7</v>
      </c>
      <c r="N16" s="13">
        <v>14</v>
      </c>
      <c r="O16" s="13">
        <v>8</v>
      </c>
      <c r="P16" s="13">
        <v>13</v>
      </c>
      <c r="Q16" s="13">
        <v>15</v>
      </c>
      <c r="R16" s="13">
        <v>13</v>
      </c>
      <c r="S16" s="13">
        <v>4</v>
      </c>
      <c r="T16" s="13">
        <v>8</v>
      </c>
      <c r="U16" s="13">
        <v>6</v>
      </c>
      <c r="V16" s="13">
        <v>9</v>
      </c>
      <c r="W16" s="13">
        <v>5</v>
      </c>
      <c r="X16" s="13">
        <v>5</v>
      </c>
      <c r="Y16" s="13">
        <v>17</v>
      </c>
      <c r="Z16" s="13">
        <v>18</v>
      </c>
      <c r="AA16" s="13">
        <v>0</v>
      </c>
      <c r="AB16" s="13">
        <v>8</v>
      </c>
      <c r="AC16" s="13">
        <v>10</v>
      </c>
      <c r="AD16" s="13">
        <v>0</v>
      </c>
      <c r="AE16" s="13">
        <v>0</v>
      </c>
      <c r="AF16" s="13">
        <v>0</v>
      </c>
      <c r="AG16" s="13">
        <v>16</v>
      </c>
      <c r="AH16" s="13">
        <v>13</v>
      </c>
      <c r="AI16" s="13">
        <v>14</v>
      </c>
      <c r="AJ16" s="13">
        <v>18</v>
      </c>
    </row>
    <row r="17" spans="1:36" x14ac:dyDescent="0.35">
      <c r="A17" s="11" t="s">
        <v>57</v>
      </c>
      <c r="B17" s="12" t="s">
        <v>58</v>
      </c>
      <c r="C17" s="13">
        <v>3</v>
      </c>
      <c r="D17" s="13">
        <v>3</v>
      </c>
      <c r="E17" s="13">
        <v>6</v>
      </c>
      <c r="F17" s="13">
        <v>3</v>
      </c>
      <c r="G17" s="13">
        <v>2</v>
      </c>
      <c r="H17" s="13">
        <v>3</v>
      </c>
      <c r="I17" s="13">
        <v>9</v>
      </c>
      <c r="J17" s="13">
        <v>10</v>
      </c>
      <c r="K17" s="13">
        <v>13</v>
      </c>
      <c r="L17" s="13">
        <v>12</v>
      </c>
      <c r="M17" s="13">
        <v>6</v>
      </c>
      <c r="N17" s="13">
        <v>12</v>
      </c>
      <c r="O17" s="13">
        <v>5</v>
      </c>
      <c r="P17" s="13">
        <v>11</v>
      </c>
      <c r="Q17" s="13">
        <v>12</v>
      </c>
      <c r="R17" s="13">
        <v>18</v>
      </c>
      <c r="S17" s="13">
        <v>16</v>
      </c>
      <c r="T17" s="13">
        <v>18</v>
      </c>
      <c r="U17" s="13">
        <v>13</v>
      </c>
      <c r="V17" s="13">
        <v>13</v>
      </c>
      <c r="W17" s="13">
        <v>4</v>
      </c>
      <c r="X17" s="13">
        <v>5</v>
      </c>
      <c r="Y17" s="13">
        <v>16</v>
      </c>
      <c r="Z17" s="13">
        <v>14</v>
      </c>
      <c r="AA17" s="13">
        <v>0</v>
      </c>
      <c r="AB17" s="13">
        <v>10</v>
      </c>
      <c r="AC17" s="13">
        <v>15</v>
      </c>
      <c r="AD17" s="13">
        <v>0</v>
      </c>
      <c r="AE17" s="13">
        <v>0</v>
      </c>
      <c r="AF17" s="13">
        <v>0</v>
      </c>
      <c r="AG17" s="13">
        <v>17</v>
      </c>
      <c r="AH17" s="13">
        <v>8</v>
      </c>
      <c r="AI17" s="13">
        <v>8</v>
      </c>
      <c r="AJ17" s="13">
        <v>16</v>
      </c>
    </row>
    <row r="18" spans="1:36" x14ac:dyDescent="0.35">
      <c r="A18" s="11" t="s">
        <v>59</v>
      </c>
      <c r="B18" s="12" t="s">
        <v>58</v>
      </c>
      <c r="C18" s="13">
        <v>2</v>
      </c>
      <c r="D18" s="13">
        <v>2</v>
      </c>
      <c r="E18" s="13">
        <v>3</v>
      </c>
      <c r="F18" s="13">
        <v>3</v>
      </c>
      <c r="G18" s="13">
        <v>2</v>
      </c>
      <c r="H18" s="13">
        <v>3</v>
      </c>
      <c r="I18" s="13">
        <v>5</v>
      </c>
      <c r="J18" s="13">
        <v>15</v>
      </c>
      <c r="K18" s="13">
        <v>15</v>
      </c>
      <c r="L18" s="13">
        <v>17</v>
      </c>
      <c r="M18" s="13">
        <v>9</v>
      </c>
      <c r="N18" s="13">
        <v>15</v>
      </c>
      <c r="O18" s="13">
        <v>3</v>
      </c>
      <c r="P18" s="13">
        <v>9</v>
      </c>
      <c r="Q18" s="13">
        <v>15</v>
      </c>
      <c r="R18" s="13">
        <v>12</v>
      </c>
      <c r="S18" s="13">
        <v>6</v>
      </c>
      <c r="T18" s="13">
        <v>11</v>
      </c>
      <c r="U18" s="13">
        <v>17</v>
      </c>
      <c r="V18" s="13">
        <v>16</v>
      </c>
      <c r="W18" s="13">
        <v>2</v>
      </c>
      <c r="X18" s="13">
        <v>2</v>
      </c>
      <c r="Y18" s="13">
        <v>15</v>
      </c>
      <c r="Z18" s="13">
        <v>15</v>
      </c>
      <c r="AA18" s="13">
        <v>0</v>
      </c>
      <c r="AB18" s="13">
        <v>6</v>
      </c>
      <c r="AC18" s="13">
        <v>9</v>
      </c>
      <c r="AD18" s="13">
        <v>0</v>
      </c>
      <c r="AE18" s="13">
        <v>0</v>
      </c>
      <c r="AF18" s="13">
        <v>0</v>
      </c>
      <c r="AG18" s="13">
        <v>15</v>
      </c>
      <c r="AH18" s="13">
        <v>9</v>
      </c>
      <c r="AI18" s="13">
        <v>8</v>
      </c>
      <c r="AJ18" s="13">
        <v>16</v>
      </c>
    </row>
    <row r="19" spans="1:36" x14ac:dyDescent="0.35">
      <c r="A19" s="11" t="s">
        <v>60</v>
      </c>
      <c r="B19" s="12" t="s">
        <v>58</v>
      </c>
      <c r="C19" s="13">
        <v>1</v>
      </c>
      <c r="D19" s="13">
        <v>1</v>
      </c>
      <c r="E19" s="13">
        <v>1</v>
      </c>
      <c r="F19" s="13">
        <v>1</v>
      </c>
      <c r="G19" s="13">
        <v>1</v>
      </c>
      <c r="H19" s="13">
        <v>2</v>
      </c>
      <c r="I19" s="13">
        <v>2</v>
      </c>
      <c r="J19" s="13">
        <v>18</v>
      </c>
      <c r="K19" s="13">
        <v>15</v>
      </c>
      <c r="L19" s="13">
        <v>17</v>
      </c>
      <c r="M19" s="13">
        <v>10</v>
      </c>
      <c r="N19" s="13">
        <v>16</v>
      </c>
      <c r="O19" s="13">
        <v>1</v>
      </c>
      <c r="P19" s="13">
        <v>7</v>
      </c>
      <c r="Q19" s="13">
        <v>19</v>
      </c>
      <c r="R19" s="13">
        <v>9</v>
      </c>
      <c r="S19" s="13">
        <v>4</v>
      </c>
      <c r="T19" s="13">
        <v>9</v>
      </c>
      <c r="U19" s="13">
        <v>18</v>
      </c>
      <c r="V19" s="13">
        <v>17</v>
      </c>
      <c r="W19" s="13">
        <v>1</v>
      </c>
      <c r="X19" s="13">
        <v>1</v>
      </c>
      <c r="Y19" s="13">
        <v>17</v>
      </c>
      <c r="Z19" s="13">
        <v>17</v>
      </c>
      <c r="AA19" s="13">
        <v>0</v>
      </c>
      <c r="AB19" s="13">
        <v>3</v>
      </c>
      <c r="AC19" s="13">
        <v>6</v>
      </c>
      <c r="AD19" s="13">
        <v>0</v>
      </c>
      <c r="AE19" s="13">
        <v>0</v>
      </c>
      <c r="AF19" s="13">
        <v>0</v>
      </c>
      <c r="AG19" s="13">
        <v>16</v>
      </c>
      <c r="AH19" s="13">
        <v>8</v>
      </c>
      <c r="AI19" s="13">
        <v>7</v>
      </c>
      <c r="AJ19" s="13">
        <v>17</v>
      </c>
    </row>
    <row r="20" spans="1:36" x14ac:dyDescent="0.35">
      <c r="A20" s="11" t="s">
        <v>61</v>
      </c>
      <c r="B20" s="12" t="s">
        <v>58</v>
      </c>
      <c r="C20" s="13">
        <v>2</v>
      </c>
      <c r="D20" s="13">
        <v>2</v>
      </c>
      <c r="E20" s="13">
        <v>4</v>
      </c>
      <c r="F20" s="13">
        <v>2</v>
      </c>
      <c r="G20" s="13">
        <v>2</v>
      </c>
      <c r="H20" s="13">
        <v>2</v>
      </c>
      <c r="I20" s="13">
        <v>6</v>
      </c>
      <c r="J20" s="13">
        <v>12</v>
      </c>
      <c r="K20" s="13">
        <v>19</v>
      </c>
      <c r="L20" s="13">
        <v>15</v>
      </c>
      <c r="M20" s="13">
        <v>7</v>
      </c>
      <c r="N20" s="13">
        <v>15</v>
      </c>
      <c r="O20" s="13">
        <v>5</v>
      </c>
      <c r="P20" s="13">
        <v>12</v>
      </c>
      <c r="Q20" s="13">
        <v>14</v>
      </c>
      <c r="R20" s="13">
        <v>15</v>
      </c>
      <c r="S20" s="13">
        <v>10</v>
      </c>
      <c r="T20" s="13">
        <v>14</v>
      </c>
      <c r="U20" s="13">
        <v>14</v>
      </c>
      <c r="V20" s="13">
        <v>14</v>
      </c>
      <c r="W20" s="13">
        <v>2</v>
      </c>
      <c r="X20" s="13">
        <v>3</v>
      </c>
      <c r="Y20" s="13">
        <v>18</v>
      </c>
      <c r="Z20" s="13">
        <v>17</v>
      </c>
      <c r="AA20" s="13">
        <v>0</v>
      </c>
      <c r="AB20" s="13">
        <v>7</v>
      </c>
      <c r="AC20" s="13">
        <v>11</v>
      </c>
      <c r="AD20" s="13">
        <v>0</v>
      </c>
      <c r="AE20" s="13">
        <v>0</v>
      </c>
      <c r="AF20" s="13">
        <v>0</v>
      </c>
      <c r="AG20" s="13">
        <v>16</v>
      </c>
      <c r="AH20" s="13">
        <v>17</v>
      </c>
      <c r="AI20" s="13">
        <v>17</v>
      </c>
      <c r="AJ20" s="13">
        <v>18</v>
      </c>
    </row>
    <row r="21" spans="1:36" x14ac:dyDescent="0.35">
      <c r="A21" s="11" t="s">
        <v>62</v>
      </c>
      <c r="B21" s="12" t="s">
        <v>63</v>
      </c>
      <c r="C21" s="13">
        <v>0</v>
      </c>
      <c r="D21" s="13">
        <v>0</v>
      </c>
      <c r="E21" s="13">
        <v>1</v>
      </c>
      <c r="F21" s="13">
        <v>0</v>
      </c>
      <c r="G21" s="13">
        <v>0</v>
      </c>
      <c r="H21" s="13">
        <v>0</v>
      </c>
      <c r="I21" s="13">
        <v>1</v>
      </c>
      <c r="J21" s="13">
        <v>2</v>
      </c>
      <c r="K21" s="13">
        <v>3</v>
      </c>
      <c r="L21" s="13">
        <v>1</v>
      </c>
      <c r="M21" s="13">
        <v>1</v>
      </c>
      <c r="N21" s="13">
        <v>3</v>
      </c>
      <c r="O21" s="13">
        <v>1</v>
      </c>
      <c r="P21" s="13">
        <v>8</v>
      </c>
      <c r="Q21" s="13">
        <v>6</v>
      </c>
      <c r="R21" s="13">
        <v>12</v>
      </c>
      <c r="S21" s="13">
        <v>3</v>
      </c>
      <c r="T21" s="13">
        <v>9</v>
      </c>
      <c r="U21" s="13">
        <v>7</v>
      </c>
      <c r="V21" s="13">
        <v>11</v>
      </c>
      <c r="W21" s="13">
        <v>0</v>
      </c>
      <c r="X21" s="13">
        <v>0</v>
      </c>
      <c r="Y21" s="13">
        <v>10</v>
      </c>
      <c r="Z21" s="13">
        <v>8</v>
      </c>
      <c r="AA21" s="13">
        <v>0</v>
      </c>
      <c r="AB21" s="13">
        <v>1</v>
      </c>
      <c r="AC21" s="13">
        <v>1</v>
      </c>
      <c r="AD21" s="13">
        <v>18</v>
      </c>
      <c r="AE21" s="13">
        <v>17</v>
      </c>
      <c r="AF21" s="13">
        <v>17</v>
      </c>
      <c r="AG21" s="13">
        <v>16</v>
      </c>
      <c r="AH21" s="13">
        <v>17</v>
      </c>
      <c r="AI21" s="13">
        <v>18</v>
      </c>
      <c r="AJ21" s="13">
        <v>18</v>
      </c>
    </row>
    <row r="22" spans="1:36" x14ac:dyDescent="0.35">
      <c r="A22" s="11" t="s">
        <v>64</v>
      </c>
      <c r="B22" s="12" t="s">
        <v>63</v>
      </c>
      <c r="C22" s="13">
        <v>0</v>
      </c>
      <c r="D22" s="13">
        <v>0</v>
      </c>
      <c r="E22" s="13">
        <v>1</v>
      </c>
      <c r="F22" s="13">
        <v>0</v>
      </c>
      <c r="G22" s="13">
        <v>0</v>
      </c>
      <c r="H22" s="13">
        <v>0</v>
      </c>
      <c r="I22" s="13">
        <v>1</v>
      </c>
      <c r="J22" s="13">
        <v>2</v>
      </c>
      <c r="K22" s="13">
        <v>3</v>
      </c>
      <c r="L22" s="13">
        <v>1</v>
      </c>
      <c r="M22" s="13">
        <v>1</v>
      </c>
      <c r="N22" s="13">
        <v>3</v>
      </c>
      <c r="O22" s="13">
        <v>1</v>
      </c>
      <c r="P22" s="13">
        <v>8</v>
      </c>
      <c r="Q22" s="13">
        <v>6</v>
      </c>
      <c r="R22" s="13">
        <v>10</v>
      </c>
      <c r="S22" s="13">
        <v>2</v>
      </c>
      <c r="T22" s="13">
        <v>8</v>
      </c>
      <c r="U22" s="13">
        <v>4</v>
      </c>
      <c r="V22" s="13">
        <v>8</v>
      </c>
      <c r="W22" s="13">
        <v>0</v>
      </c>
      <c r="X22" s="13">
        <v>0</v>
      </c>
      <c r="Y22" s="13">
        <v>10</v>
      </c>
      <c r="Z22" s="13">
        <v>8</v>
      </c>
      <c r="AA22" s="13">
        <v>0</v>
      </c>
      <c r="AB22" s="13">
        <v>1</v>
      </c>
      <c r="AC22" s="13">
        <v>1</v>
      </c>
      <c r="AD22" s="13">
        <v>19</v>
      </c>
      <c r="AE22" s="13">
        <v>16</v>
      </c>
      <c r="AF22" s="13">
        <v>16</v>
      </c>
      <c r="AG22" s="13">
        <v>16</v>
      </c>
      <c r="AH22" s="13">
        <v>17</v>
      </c>
      <c r="AI22" s="13">
        <v>18</v>
      </c>
      <c r="AJ22" s="13">
        <v>17</v>
      </c>
    </row>
    <row r="23" spans="1:36" x14ac:dyDescent="0.35">
      <c r="A23" s="11" t="s">
        <v>65</v>
      </c>
      <c r="B23" s="12" t="s">
        <v>63</v>
      </c>
      <c r="C23" s="13">
        <v>0</v>
      </c>
      <c r="D23" s="13">
        <v>0</v>
      </c>
      <c r="E23" s="13">
        <v>1</v>
      </c>
      <c r="F23" s="13">
        <v>0</v>
      </c>
      <c r="G23" s="13">
        <v>0</v>
      </c>
      <c r="H23" s="13">
        <v>0</v>
      </c>
      <c r="I23" s="13">
        <v>1</v>
      </c>
      <c r="J23" s="13">
        <v>2</v>
      </c>
      <c r="K23" s="13">
        <v>3</v>
      </c>
      <c r="L23" s="13">
        <v>1</v>
      </c>
      <c r="M23" s="13">
        <v>1</v>
      </c>
      <c r="N23" s="13">
        <v>3</v>
      </c>
      <c r="O23" s="13">
        <v>1</v>
      </c>
      <c r="P23" s="13">
        <v>8</v>
      </c>
      <c r="Q23" s="13">
        <v>6</v>
      </c>
      <c r="R23" s="13">
        <v>13</v>
      </c>
      <c r="S23" s="13">
        <v>5</v>
      </c>
      <c r="T23" s="13">
        <v>13</v>
      </c>
      <c r="U23" s="13">
        <v>10</v>
      </c>
      <c r="V23" s="13">
        <v>15</v>
      </c>
      <c r="W23" s="13">
        <v>0</v>
      </c>
      <c r="X23" s="13">
        <v>0</v>
      </c>
      <c r="Y23" s="13">
        <v>9</v>
      </c>
      <c r="Z23" s="13">
        <v>8</v>
      </c>
      <c r="AA23" s="13">
        <v>0</v>
      </c>
      <c r="AB23" s="13">
        <v>1</v>
      </c>
      <c r="AC23" s="13">
        <v>1</v>
      </c>
      <c r="AD23" s="13">
        <v>16</v>
      </c>
      <c r="AE23" s="13">
        <v>18</v>
      </c>
      <c r="AF23" s="13">
        <v>19</v>
      </c>
      <c r="AG23" s="13">
        <v>18</v>
      </c>
      <c r="AH23" s="13">
        <v>17</v>
      </c>
      <c r="AI23" s="13">
        <v>18</v>
      </c>
      <c r="AJ23" s="13">
        <v>18</v>
      </c>
    </row>
    <row r="24" spans="1:36" x14ac:dyDescent="0.35">
      <c r="A24" s="11" t="s">
        <v>66</v>
      </c>
      <c r="B24" s="12" t="s">
        <v>39</v>
      </c>
      <c r="C24" s="13">
        <v>15</v>
      </c>
      <c r="D24" s="13">
        <v>14</v>
      </c>
      <c r="E24" s="13">
        <v>10</v>
      </c>
      <c r="F24" s="13">
        <v>13</v>
      </c>
      <c r="G24" s="13">
        <v>15</v>
      </c>
      <c r="H24" s="13">
        <v>15</v>
      </c>
      <c r="I24" s="13">
        <v>10</v>
      </c>
      <c r="J24" s="13">
        <v>6</v>
      </c>
      <c r="K24" s="13">
        <v>5</v>
      </c>
      <c r="L24" s="13">
        <v>3</v>
      </c>
      <c r="M24" s="13">
        <v>4</v>
      </c>
      <c r="N24" s="13">
        <v>8</v>
      </c>
      <c r="O24" s="13">
        <v>9</v>
      </c>
      <c r="P24" s="13">
        <v>11</v>
      </c>
      <c r="Q24" s="13">
        <v>18</v>
      </c>
      <c r="R24" s="13">
        <v>13</v>
      </c>
      <c r="S24" s="13">
        <v>4</v>
      </c>
      <c r="T24" s="13">
        <v>9</v>
      </c>
      <c r="U24" s="13">
        <v>19</v>
      </c>
      <c r="V24" s="13">
        <v>18</v>
      </c>
      <c r="W24" s="13">
        <v>10</v>
      </c>
      <c r="X24" s="13">
        <v>9</v>
      </c>
      <c r="Y24" s="13">
        <v>11</v>
      </c>
      <c r="Z24" s="13">
        <v>10</v>
      </c>
      <c r="AA24" s="13">
        <v>14</v>
      </c>
      <c r="AB24" s="13">
        <v>15</v>
      </c>
      <c r="AC24" s="13">
        <v>14</v>
      </c>
      <c r="AD24" s="13">
        <v>0</v>
      </c>
      <c r="AE24" s="13">
        <v>0</v>
      </c>
      <c r="AF24" s="13">
        <v>0</v>
      </c>
      <c r="AG24" s="13">
        <v>13</v>
      </c>
      <c r="AH24" s="13">
        <v>9</v>
      </c>
      <c r="AI24" s="13">
        <v>6</v>
      </c>
      <c r="AJ24" s="13">
        <v>17</v>
      </c>
    </row>
    <row r="25" spans="1:36" x14ac:dyDescent="0.35">
      <c r="A25" s="11" t="s">
        <v>67</v>
      </c>
      <c r="B25" s="12" t="s">
        <v>37</v>
      </c>
      <c r="C25" s="13">
        <v>19</v>
      </c>
      <c r="D25" s="13">
        <v>19</v>
      </c>
      <c r="E25" s="13">
        <v>18</v>
      </c>
      <c r="F25" s="13">
        <v>17</v>
      </c>
      <c r="G25" s="13">
        <v>16</v>
      </c>
      <c r="H25" s="13">
        <v>19</v>
      </c>
      <c r="I25" s="13">
        <v>19</v>
      </c>
      <c r="J25" s="13">
        <v>5</v>
      </c>
      <c r="K25" s="13">
        <v>5</v>
      </c>
      <c r="L25" s="13">
        <v>1</v>
      </c>
      <c r="M25" s="13">
        <v>2</v>
      </c>
      <c r="N25" s="13">
        <v>7</v>
      </c>
      <c r="O25" s="13">
        <v>20</v>
      </c>
      <c r="P25" s="13">
        <v>19</v>
      </c>
      <c r="Q25" s="13">
        <v>13</v>
      </c>
      <c r="R25" s="13">
        <v>17</v>
      </c>
      <c r="S25" s="13">
        <v>6</v>
      </c>
      <c r="T25" s="13">
        <v>11</v>
      </c>
      <c r="U25" s="13">
        <v>3</v>
      </c>
      <c r="V25" s="13">
        <v>6</v>
      </c>
      <c r="W25" s="13">
        <v>19</v>
      </c>
      <c r="X25" s="13">
        <v>19</v>
      </c>
      <c r="Y25" s="13">
        <v>15</v>
      </c>
      <c r="Z25" s="13">
        <v>13</v>
      </c>
      <c r="AA25" s="13">
        <v>14</v>
      </c>
      <c r="AB25" s="13">
        <v>19</v>
      </c>
      <c r="AC25" s="13">
        <v>16</v>
      </c>
      <c r="AD25" s="13">
        <v>0</v>
      </c>
      <c r="AE25" s="13">
        <v>0</v>
      </c>
      <c r="AF25" s="13">
        <v>0</v>
      </c>
      <c r="AG25" s="13">
        <v>16</v>
      </c>
      <c r="AH25" s="13">
        <v>18</v>
      </c>
      <c r="AI25" s="13">
        <v>19</v>
      </c>
      <c r="AJ25" s="13">
        <v>20</v>
      </c>
    </row>
    <row r="26" spans="1:36" x14ac:dyDescent="0.35">
      <c r="A26" s="11" t="s">
        <v>68</v>
      </c>
      <c r="B26" s="12" t="s">
        <v>39</v>
      </c>
      <c r="C26" s="13">
        <v>20</v>
      </c>
      <c r="D26" s="13">
        <v>19</v>
      </c>
      <c r="E26" s="13">
        <v>9</v>
      </c>
      <c r="F26" s="13">
        <v>20</v>
      </c>
      <c r="G26" s="13">
        <v>19</v>
      </c>
      <c r="H26" s="13">
        <v>20</v>
      </c>
      <c r="I26" s="13">
        <v>11</v>
      </c>
      <c r="J26" s="13">
        <v>4</v>
      </c>
      <c r="K26" s="13">
        <v>3</v>
      </c>
      <c r="L26" s="13">
        <v>1</v>
      </c>
      <c r="M26" s="13">
        <v>2</v>
      </c>
      <c r="N26" s="13">
        <v>7</v>
      </c>
      <c r="O26" s="13">
        <v>14</v>
      </c>
      <c r="P26" s="13">
        <v>13</v>
      </c>
      <c r="Q26" s="13">
        <v>14</v>
      </c>
      <c r="R26" s="13">
        <v>14</v>
      </c>
      <c r="S26" s="13">
        <v>3</v>
      </c>
      <c r="T26" s="13">
        <v>8</v>
      </c>
      <c r="U26" s="13">
        <v>16</v>
      </c>
      <c r="V26" s="13">
        <v>15</v>
      </c>
      <c r="W26" s="13">
        <v>10</v>
      </c>
      <c r="X26" s="13">
        <v>8</v>
      </c>
      <c r="Y26" s="13">
        <v>13</v>
      </c>
      <c r="Z26" s="13">
        <v>14</v>
      </c>
      <c r="AA26" s="13">
        <v>18</v>
      </c>
      <c r="AB26" s="13">
        <v>18</v>
      </c>
      <c r="AC26" s="13">
        <v>12</v>
      </c>
      <c r="AD26" s="13">
        <v>0</v>
      </c>
      <c r="AE26" s="13">
        <v>0</v>
      </c>
      <c r="AF26" s="13">
        <v>0</v>
      </c>
      <c r="AG26" s="13">
        <v>15</v>
      </c>
      <c r="AH26" s="13">
        <v>15</v>
      </c>
      <c r="AI26" s="13">
        <v>16</v>
      </c>
      <c r="AJ26" s="13">
        <v>19</v>
      </c>
    </row>
    <row r="27" spans="1:36" x14ac:dyDescent="0.35">
      <c r="A27" s="16" t="s">
        <v>69</v>
      </c>
      <c r="B27" s="17" t="s">
        <v>37</v>
      </c>
      <c r="C27" s="18">
        <v>12</v>
      </c>
      <c r="D27" s="18">
        <v>12</v>
      </c>
      <c r="E27" s="18">
        <v>11</v>
      </c>
      <c r="F27" s="18">
        <v>11</v>
      </c>
      <c r="G27" s="18">
        <v>11</v>
      </c>
      <c r="H27" s="18">
        <v>7</v>
      </c>
      <c r="I27" s="18">
        <v>12</v>
      </c>
      <c r="J27" s="18">
        <v>9</v>
      </c>
      <c r="K27" s="18">
        <v>8</v>
      </c>
      <c r="L27" s="18">
        <v>2</v>
      </c>
      <c r="M27" s="18">
        <v>4</v>
      </c>
      <c r="N27" s="18">
        <v>10</v>
      </c>
      <c r="O27" s="18">
        <v>10</v>
      </c>
      <c r="P27" s="18">
        <v>13</v>
      </c>
      <c r="Q27" s="18">
        <v>10</v>
      </c>
      <c r="R27" s="18">
        <v>13</v>
      </c>
      <c r="S27" s="18">
        <v>4</v>
      </c>
      <c r="T27" s="18">
        <v>7</v>
      </c>
      <c r="U27">
        <v>4</v>
      </c>
      <c r="V27">
        <v>6</v>
      </c>
      <c r="W27">
        <v>11</v>
      </c>
      <c r="X27">
        <v>11</v>
      </c>
      <c r="Y27">
        <v>13</v>
      </c>
      <c r="Z27">
        <v>12</v>
      </c>
      <c r="AA27">
        <v>5</v>
      </c>
      <c r="AB27">
        <v>12</v>
      </c>
      <c r="AC27">
        <v>11</v>
      </c>
      <c r="AD27">
        <v>0</v>
      </c>
      <c r="AE27">
        <v>0</v>
      </c>
      <c r="AF27">
        <v>0</v>
      </c>
      <c r="AG27">
        <v>12</v>
      </c>
      <c r="AH27">
        <v>14</v>
      </c>
      <c r="AI27">
        <v>13</v>
      </c>
      <c r="AJ27">
        <v>15</v>
      </c>
    </row>
    <row r="28" spans="1:36" x14ac:dyDescent="0.35">
      <c r="A28" t="s">
        <v>70</v>
      </c>
      <c r="B28" t="s">
        <v>42</v>
      </c>
      <c r="C28">
        <v>8</v>
      </c>
      <c r="D28">
        <v>8</v>
      </c>
      <c r="E28">
        <v>7</v>
      </c>
      <c r="F28">
        <v>9</v>
      </c>
      <c r="G28">
        <v>8</v>
      </c>
      <c r="H28">
        <v>4</v>
      </c>
      <c r="I28">
        <v>9</v>
      </c>
      <c r="J28">
        <v>16</v>
      </c>
      <c r="K28">
        <v>14</v>
      </c>
      <c r="L28">
        <v>6</v>
      </c>
      <c r="M28">
        <v>8</v>
      </c>
      <c r="N28">
        <v>17</v>
      </c>
      <c r="O28">
        <v>8</v>
      </c>
      <c r="P28">
        <v>10</v>
      </c>
      <c r="Q28">
        <v>13</v>
      </c>
      <c r="R28">
        <v>11</v>
      </c>
      <c r="S28">
        <v>6</v>
      </c>
      <c r="T28">
        <v>8</v>
      </c>
      <c r="U28">
        <v>7</v>
      </c>
      <c r="V28">
        <v>9</v>
      </c>
      <c r="W28">
        <v>4</v>
      </c>
      <c r="X28">
        <v>7</v>
      </c>
      <c r="Y28">
        <v>11</v>
      </c>
      <c r="Z28">
        <v>9</v>
      </c>
      <c r="AA28">
        <v>2</v>
      </c>
      <c r="AB28">
        <v>9</v>
      </c>
      <c r="AC28">
        <v>10</v>
      </c>
      <c r="AD28">
        <v>0</v>
      </c>
      <c r="AE28">
        <v>0</v>
      </c>
      <c r="AF28">
        <v>0</v>
      </c>
      <c r="AG28">
        <v>12</v>
      </c>
      <c r="AH28">
        <v>7</v>
      </c>
      <c r="AI28">
        <v>8</v>
      </c>
      <c r="AJ28">
        <v>15</v>
      </c>
    </row>
    <row r="29" spans="1:36" x14ac:dyDescent="0.35">
      <c r="A29" t="s">
        <v>71</v>
      </c>
      <c r="B29" t="s">
        <v>42</v>
      </c>
      <c r="C29">
        <v>5</v>
      </c>
      <c r="D29">
        <v>5</v>
      </c>
      <c r="E29">
        <v>6</v>
      </c>
      <c r="F29">
        <v>6</v>
      </c>
      <c r="G29">
        <v>5</v>
      </c>
      <c r="H29">
        <v>2</v>
      </c>
      <c r="I29">
        <v>14</v>
      </c>
      <c r="J29">
        <v>10</v>
      </c>
      <c r="K29">
        <v>13</v>
      </c>
      <c r="L29">
        <v>5</v>
      </c>
      <c r="M29">
        <v>5</v>
      </c>
      <c r="N29">
        <v>12</v>
      </c>
      <c r="O29">
        <v>17</v>
      </c>
      <c r="P29">
        <v>17</v>
      </c>
      <c r="Q29">
        <v>9</v>
      </c>
      <c r="R29">
        <v>16</v>
      </c>
      <c r="S29">
        <v>11</v>
      </c>
      <c r="T29">
        <v>13</v>
      </c>
      <c r="U29">
        <v>3</v>
      </c>
      <c r="V29">
        <v>5</v>
      </c>
      <c r="W29">
        <v>5</v>
      </c>
      <c r="X29">
        <v>10</v>
      </c>
      <c r="Y29">
        <v>13</v>
      </c>
      <c r="Z29">
        <v>15</v>
      </c>
      <c r="AA29">
        <v>2</v>
      </c>
      <c r="AB29">
        <v>12</v>
      </c>
      <c r="AC29">
        <v>14</v>
      </c>
      <c r="AD29">
        <v>0</v>
      </c>
      <c r="AE29">
        <v>0</v>
      </c>
      <c r="AF29">
        <v>0</v>
      </c>
      <c r="AG29">
        <v>12</v>
      </c>
      <c r="AH29">
        <v>13</v>
      </c>
      <c r="AI29">
        <v>13</v>
      </c>
      <c r="AJ29">
        <v>15</v>
      </c>
    </row>
    <row r="30" spans="1:36" x14ac:dyDescent="0.35">
      <c r="A30" t="s">
        <v>72</v>
      </c>
      <c r="B30" t="s">
        <v>39</v>
      </c>
      <c r="C30">
        <v>13</v>
      </c>
      <c r="D30">
        <v>12</v>
      </c>
      <c r="E30">
        <v>8</v>
      </c>
      <c r="F30">
        <v>10</v>
      </c>
      <c r="G30">
        <v>10</v>
      </c>
      <c r="H30">
        <v>14</v>
      </c>
      <c r="I30">
        <v>8</v>
      </c>
      <c r="J30">
        <v>4</v>
      </c>
      <c r="K30">
        <v>4</v>
      </c>
      <c r="L30">
        <v>2</v>
      </c>
      <c r="M30">
        <v>3</v>
      </c>
      <c r="N30">
        <v>6</v>
      </c>
      <c r="O30">
        <v>4</v>
      </c>
      <c r="P30">
        <v>10</v>
      </c>
      <c r="Q30">
        <v>11</v>
      </c>
      <c r="R30">
        <v>12</v>
      </c>
      <c r="S30">
        <v>3</v>
      </c>
      <c r="T30">
        <v>6</v>
      </c>
      <c r="U30">
        <v>16</v>
      </c>
      <c r="V30">
        <v>17</v>
      </c>
      <c r="W30">
        <v>6</v>
      </c>
      <c r="X30">
        <v>8</v>
      </c>
      <c r="Y30">
        <v>12</v>
      </c>
      <c r="Z30">
        <v>11</v>
      </c>
      <c r="AA30">
        <v>5</v>
      </c>
      <c r="AB30">
        <v>11</v>
      </c>
      <c r="AC30">
        <v>11</v>
      </c>
      <c r="AD30">
        <v>0</v>
      </c>
      <c r="AE30">
        <v>0</v>
      </c>
      <c r="AF30">
        <v>0</v>
      </c>
      <c r="AG30">
        <v>11</v>
      </c>
      <c r="AH30">
        <v>13</v>
      </c>
      <c r="AI30">
        <v>13</v>
      </c>
      <c r="AJ30">
        <v>15</v>
      </c>
    </row>
    <row r="31" spans="1:36" x14ac:dyDescent="0.35">
      <c r="A31" t="s">
        <v>73</v>
      </c>
      <c r="B31" t="s">
        <v>55</v>
      </c>
      <c r="C31">
        <v>5</v>
      </c>
      <c r="D31">
        <v>5</v>
      </c>
      <c r="E31">
        <v>4</v>
      </c>
      <c r="F31">
        <v>5</v>
      </c>
      <c r="G31">
        <v>4</v>
      </c>
      <c r="H31">
        <v>2</v>
      </c>
      <c r="I31">
        <v>9</v>
      </c>
      <c r="J31">
        <v>15</v>
      </c>
      <c r="K31">
        <v>14</v>
      </c>
      <c r="L31">
        <v>8</v>
      </c>
      <c r="M31">
        <v>9</v>
      </c>
      <c r="N31">
        <v>12</v>
      </c>
      <c r="O31">
        <v>6</v>
      </c>
      <c r="P31">
        <v>11</v>
      </c>
      <c r="Q31">
        <v>12</v>
      </c>
      <c r="R31">
        <v>15</v>
      </c>
      <c r="S31">
        <v>8</v>
      </c>
      <c r="T31">
        <v>10</v>
      </c>
      <c r="U31">
        <v>7</v>
      </c>
      <c r="V31">
        <v>9</v>
      </c>
      <c r="W31">
        <v>6</v>
      </c>
      <c r="X31">
        <v>7</v>
      </c>
      <c r="Y31">
        <v>12</v>
      </c>
      <c r="Z31">
        <v>14</v>
      </c>
      <c r="AA31">
        <v>1</v>
      </c>
      <c r="AB31">
        <v>9</v>
      </c>
      <c r="AC31">
        <v>11</v>
      </c>
      <c r="AD31">
        <v>0</v>
      </c>
      <c r="AE31">
        <v>0</v>
      </c>
      <c r="AF31">
        <v>0</v>
      </c>
      <c r="AG31">
        <v>12</v>
      </c>
      <c r="AH31">
        <v>10</v>
      </c>
      <c r="AI31">
        <v>11</v>
      </c>
      <c r="AJ31">
        <v>15</v>
      </c>
    </row>
    <row r="32" spans="1:36" x14ac:dyDescent="0.35">
      <c r="A32" t="s">
        <v>74</v>
      </c>
      <c r="B32" t="s">
        <v>53</v>
      </c>
      <c r="C32">
        <v>13</v>
      </c>
      <c r="D32">
        <v>12</v>
      </c>
      <c r="E32">
        <v>17</v>
      </c>
      <c r="F32">
        <v>10</v>
      </c>
      <c r="G32">
        <v>9</v>
      </c>
      <c r="H32">
        <v>10</v>
      </c>
      <c r="I32">
        <v>17</v>
      </c>
      <c r="J32">
        <v>8</v>
      </c>
      <c r="K32">
        <v>8</v>
      </c>
      <c r="L32">
        <v>2</v>
      </c>
      <c r="M32">
        <v>3</v>
      </c>
      <c r="N32">
        <v>10</v>
      </c>
      <c r="O32">
        <v>7</v>
      </c>
      <c r="P32">
        <v>10</v>
      </c>
      <c r="Q32">
        <v>9</v>
      </c>
      <c r="R32">
        <v>14</v>
      </c>
      <c r="S32">
        <v>6</v>
      </c>
      <c r="T32">
        <v>8</v>
      </c>
      <c r="U32">
        <v>6</v>
      </c>
      <c r="V32">
        <v>8</v>
      </c>
      <c r="W32">
        <v>17</v>
      </c>
      <c r="X32">
        <v>17</v>
      </c>
      <c r="Y32">
        <v>12</v>
      </c>
      <c r="Z32">
        <v>12</v>
      </c>
      <c r="AA32">
        <v>3</v>
      </c>
      <c r="AB32">
        <v>17</v>
      </c>
      <c r="AC32">
        <v>16</v>
      </c>
      <c r="AD32">
        <v>0</v>
      </c>
      <c r="AE32">
        <v>0</v>
      </c>
      <c r="AF32">
        <v>0</v>
      </c>
      <c r="AG32">
        <v>12</v>
      </c>
      <c r="AH32">
        <v>12</v>
      </c>
      <c r="AI32">
        <v>13</v>
      </c>
      <c r="AJ32">
        <v>15</v>
      </c>
    </row>
    <row r="33" spans="1:36" x14ac:dyDescent="0.35">
      <c r="A33" t="s">
        <v>75</v>
      </c>
      <c r="B33" t="s">
        <v>58</v>
      </c>
      <c r="C33">
        <v>2</v>
      </c>
      <c r="D33">
        <v>2</v>
      </c>
      <c r="E33">
        <v>2</v>
      </c>
      <c r="F33">
        <v>3</v>
      </c>
      <c r="G33">
        <v>2</v>
      </c>
      <c r="H33">
        <v>2</v>
      </c>
      <c r="I33">
        <v>2</v>
      </c>
      <c r="J33">
        <v>13</v>
      </c>
      <c r="K33">
        <v>13</v>
      </c>
      <c r="L33">
        <v>16</v>
      </c>
      <c r="M33">
        <v>11</v>
      </c>
      <c r="N33">
        <v>11</v>
      </c>
      <c r="O33">
        <v>2</v>
      </c>
      <c r="P33">
        <v>6</v>
      </c>
      <c r="Q33">
        <v>17</v>
      </c>
      <c r="R33">
        <v>9</v>
      </c>
      <c r="S33">
        <v>7</v>
      </c>
      <c r="T33">
        <v>7</v>
      </c>
      <c r="U33">
        <v>17</v>
      </c>
      <c r="V33">
        <v>17</v>
      </c>
      <c r="W33">
        <v>2</v>
      </c>
      <c r="X33">
        <v>2</v>
      </c>
      <c r="Y33">
        <v>10</v>
      </c>
      <c r="Z33">
        <v>10</v>
      </c>
      <c r="AA33">
        <v>0</v>
      </c>
      <c r="AB33">
        <v>4</v>
      </c>
      <c r="AC33">
        <v>4</v>
      </c>
      <c r="AD33">
        <v>0</v>
      </c>
      <c r="AE33">
        <v>0</v>
      </c>
      <c r="AF33">
        <v>0</v>
      </c>
      <c r="AG33">
        <v>13</v>
      </c>
      <c r="AH33">
        <v>8</v>
      </c>
      <c r="AI33">
        <v>8</v>
      </c>
      <c r="AJ33">
        <v>15</v>
      </c>
    </row>
    <row r="34" spans="1:36" x14ac:dyDescent="0.35">
      <c r="A34" t="s">
        <v>76</v>
      </c>
      <c r="B34" t="s">
        <v>55</v>
      </c>
      <c r="C34">
        <v>5</v>
      </c>
      <c r="D34">
        <v>5</v>
      </c>
      <c r="E34">
        <v>4</v>
      </c>
      <c r="F34">
        <v>5</v>
      </c>
      <c r="G34">
        <v>4</v>
      </c>
      <c r="H34">
        <v>2</v>
      </c>
      <c r="I34">
        <v>9</v>
      </c>
      <c r="J34">
        <v>14</v>
      </c>
      <c r="K34">
        <v>11</v>
      </c>
      <c r="L34">
        <v>7</v>
      </c>
      <c r="M34">
        <v>7</v>
      </c>
      <c r="N34">
        <v>16</v>
      </c>
      <c r="O34">
        <v>8</v>
      </c>
      <c r="P34">
        <v>11</v>
      </c>
      <c r="Q34">
        <v>12</v>
      </c>
      <c r="R34">
        <v>13</v>
      </c>
      <c r="S34">
        <v>8</v>
      </c>
      <c r="T34">
        <v>10</v>
      </c>
      <c r="U34">
        <v>7</v>
      </c>
      <c r="V34">
        <v>9</v>
      </c>
      <c r="W34">
        <v>6</v>
      </c>
      <c r="X34">
        <v>8</v>
      </c>
      <c r="Y34">
        <v>11</v>
      </c>
      <c r="Z34">
        <v>13</v>
      </c>
      <c r="AA34">
        <v>1</v>
      </c>
      <c r="AB34">
        <v>9</v>
      </c>
      <c r="AC34">
        <v>11</v>
      </c>
      <c r="AD34">
        <v>0</v>
      </c>
      <c r="AE34">
        <v>0</v>
      </c>
      <c r="AF34">
        <v>0</v>
      </c>
      <c r="AG34">
        <v>12</v>
      </c>
      <c r="AH34">
        <v>11</v>
      </c>
      <c r="AI34">
        <v>12</v>
      </c>
      <c r="AJ34">
        <v>15</v>
      </c>
    </row>
    <row r="35" spans="1:36" x14ac:dyDescent="0.35">
      <c r="A35" t="s">
        <v>77</v>
      </c>
      <c r="B35" t="s">
        <v>39</v>
      </c>
      <c r="C35">
        <v>14</v>
      </c>
      <c r="D35">
        <v>13</v>
      </c>
      <c r="E35">
        <v>6</v>
      </c>
      <c r="F35">
        <v>11</v>
      </c>
      <c r="G35">
        <v>11</v>
      </c>
      <c r="H35">
        <v>14</v>
      </c>
      <c r="I35">
        <v>6</v>
      </c>
      <c r="J35">
        <v>4</v>
      </c>
      <c r="K35">
        <v>4</v>
      </c>
      <c r="L35">
        <v>2</v>
      </c>
      <c r="M35">
        <v>3</v>
      </c>
      <c r="N35">
        <v>6</v>
      </c>
      <c r="O35">
        <v>4</v>
      </c>
      <c r="P35">
        <v>9</v>
      </c>
      <c r="Q35">
        <v>12</v>
      </c>
      <c r="R35">
        <v>13</v>
      </c>
      <c r="S35">
        <v>3</v>
      </c>
      <c r="T35">
        <v>6</v>
      </c>
      <c r="U35">
        <v>16</v>
      </c>
      <c r="V35">
        <v>17</v>
      </c>
      <c r="W35">
        <v>6</v>
      </c>
      <c r="X35">
        <v>6</v>
      </c>
      <c r="Y35">
        <v>13</v>
      </c>
      <c r="Z35">
        <v>12</v>
      </c>
      <c r="AA35">
        <v>6</v>
      </c>
      <c r="AB35">
        <v>11</v>
      </c>
      <c r="AC35">
        <v>9</v>
      </c>
      <c r="AD35">
        <v>0</v>
      </c>
      <c r="AE35">
        <v>0</v>
      </c>
      <c r="AF35">
        <v>0</v>
      </c>
      <c r="AG35">
        <v>12</v>
      </c>
      <c r="AH35">
        <v>13</v>
      </c>
      <c r="AI35">
        <v>13</v>
      </c>
      <c r="AJ35">
        <v>15</v>
      </c>
    </row>
    <row r="36" spans="1:36" x14ac:dyDescent="0.35">
      <c r="A36" t="s">
        <v>78</v>
      </c>
      <c r="B36" t="s">
        <v>37</v>
      </c>
      <c r="C36">
        <v>11</v>
      </c>
      <c r="D36">
        <v>11</v>
      </c>
      <c r="E36">
        <v>15</v>
      </c>
      <c r="F36">
        <v>10</v>
      </c>
      <c r="G36">
        <v>10</v>
      </c>
      <c r="H36">
        <v>7</v>
      </c>
      <c r="I36">
        <v>14</v>
      </c>
      <c r="J36">
        <v>7</v>
      </c>
      <c r="K36">
        <v>6</v>
      </c>
      <c r="L36">
        <v>2</v>
      </c>
      <c r="M36">
        <v>3</v>
      </c>
      <c r="N36">
        <v>8</v>
      </c>
      <c r="O36">
        <v>14</v>
      </c>
      <c r="P36">
        <v>16</v>
      </c>
      <c r="Q36">
        <v>8</v>
      </c>
      <c r="R36">
        <v>14</v>
      </c>
      <c r="S36">
        <v>4</v>
      </c>
      <c r="T36">
        <v>7</v>
      </c>
      <c r="U36">
        <v>4</v>
      </c>
      <c r="V36">
        <v>6</v>
      </c>
      <c r="W36">
        <v>9</v>
      </c>
      <c r="X36">
        <v>15</v>
      </c>
      <c r="Y36">
        <v>13</v>
      </c>
      <c r="Z36">
        <v>13</v>
      </c>
      <c r="AA36">
        <v>3</v>
      </c>
      <c r="AB36">
        <v>15</v>
      </c>
      <c r="AC36">
        <v>13</v>
      </c>
      <c r="AD36">
        <v>0</v>
      </c>
      <c r="AE36">
        <v>0</v>
      </c>
      <c r="AF36">
        <v>0</v>
      </c>
      <c r="AG36">
        <v>12</v>
      </c>
      <c r="AH36">
        <v>13</v>
      </c>
      <c r="AI36">
        <v>13</v>
      </c>
      <c r="AJ36">
        <v>15</v>
      </c>
    </row>
    <row r="37" spans="1:36" x14ac:dyDescent="0.35">
      <c r="A37" t="s">
        <v>79</v>
      </c>
      <c r="B37" t="s">
        <v>53</v>
      </c>
      <c r="C37">
        <v>9</v>
      </c>
      <c r="D37">
        <v>9</v>
      </c>
      <c r="E37">
        <v>14</v>
      </c>
      <c r="F37">
        <v>8</v>
      </c>
      <c r="G37">
        <v>7</v>
      </c>
      <c r="H37">
        <v>4</v>
      </c>
      <c r="I37">
        <v>17</v>
      </c>
      <c r="J37">
        <v>5</v>
      </c>
      <c r="K37">
        <v>5</v>
      </c>
      <c r="L37">
        <v>1</v>
      </c>
      <c r="M37">
        <v>1</v>
      </c>
      <c r="N37">
        <v>7</v>
      </c>
      <c r="O37">
        <v>11</v>
      </c>
      <c r="P37">
        <v>14</v>
      </c>
      <c r="Q37">
        <v>7</v>
      </c>
      <c r="R37">
        <v>18</v>
      </c>
      <c r="S37">
        <v>11</v>
      </c>
      <c r="T37">
        <v>14</v>
      </c>
      <c r="U37">
        <v>3</v>
      </c>
      <c r="V37">
        <v>5</v>
      </c>
      <c r="W37">
        <v>7</v>
      </c>
      <c r="X37">
        <v>13</v>
      </c>
      <c r="Y37">
        <v>13</v>
      </c>
      <c r="Z37">
        <v>13</v>
      </c>
      <c r="AA37">
        <v>3</v>
      </c>
      <c r="AB37">
        <v>14</v>
      </c>
      <c r="AC37">
        <v>14</v>
      </c>
      <c r="AD37">
        <v>0</v>
      </c>
      <c r="AE37">
        <v>0</v>
      </c>
      <c r="AF37">
        <v>0</v>
      </c>
      <c r="AG37">
        <v>12</v>
      </c>
      <c r="AH37">
        <v>11</v>
      </c>
      <c r="AI37">
        <v>11</v>
      </c>
      <c r="AJ37">
        <v>15</v>
      </c>
    </row>
    <row r="38" spans="1:36" x14ac:dyDescent="0.35">
      <c r="A38" t="s">
        <v>80</v>
      </c>
      <c r="B38" t="s">
        <v>42</v>
      </c>
      <c r="C38">
        <v>7</v>
      </c>
      <c r="D38">
        <v>7</v>
      </c>
      <c r="E38">
        <v>13</v>
      </c>
      <c r="F38">
        <v>7</v>
      </c>
      <c r="G38">
        <v>6</v>
      </c>
      <c r="H38">
        <v>3</v>
      </c>
      <c r="I38">
        <v>11</v>
      </c>
      <c r="J38">
        <v>13</v>
      </c>
      <c r="K38">
        <v>9</v>
      </c>
      <c r="L38">
        <v>6</v>
      </c>
      <c r="M38">
        <v>6</v>
      </c>
      <c r="N38">
        <v>13</v>
      </c>
      <c r="O38">
        <v>6</v>
      </c>
      <c r="P38">
        <v>11</v>
      </c>
      <c r="Q38">
        <v>11</v>
      </c>
      <c r="R38">
        <v>14</v>
      </c>
      <c r="S38">
        <v>9</v>
      </c>
      <c r="T38">
        <v>12</v>
      </c>
      <c r="U38">
        <v>6</v>
      </c>
      <c r="V38">
        <v>8</v>
      </c>
      <c r="W38">
        <v>6</v>
      </c>
      <c r="X38">
        <v>10</v>
      </c>
      <c r="Y38">
        <v>12</v>
      </c>
      <c r="Z38">
        <v>14</v>
      </c>
      <c r="AA38">
        <v>11</v>
      </c>
      <c r="AB38">
        <v>11</v>
      </c>
      <c r="AC38">
        <v>11</v>
      </c>
      <c r="AD38">
        <v>0</v>
      </c>
      <c r="AE38">
        <v>0</v>
      </c>
      <c r="AF38">
        <v>0</v>
      </c>
      <c r="AG38">
        <v>12</v>
      </c>
      <c r="AH38">
        <v>15</v>
      </c>
      <c r="AI38">
        <v>13</v>
      </c>
      <c r="AJ38">
        <v>15</v>
      </c>
    </row>
  </sheetData>
  <conditionalFormatting sqref="C2:AJ26 C27:T27">
    <cfRule type="colorScale" priority="1">
      <colorScale>
        <cfvo type="num" val="1"/>
        <cfvo type="num" val="10"/>
        <cfvo type="num" val="20"/>
        <color rgb="FFF8696B"/>
        <color rgb="FFFFEB84"/>
        <color rgb="FF63BE7B"/>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8"/>
  <sheetViews>
    <sheetView showGridLines="0" tabSelected="1" workbookViewId="0">
      <pane xSplit="2" ySplit="1" topLeftCell="Y24" activePane="bottomRight" state="frozen"/>
      <selection pane="topRight"/>
      <selection pane="bottomLeft"/>
      <selection pane="bottomRight" activeCell="A27" sqref="A27:AJ38"/>
    </sheetView>
  </sheetViews>
  <sheetFormatPr defaultRowHeight="14.5" x14ac:dyDescent="0.35"/>
  <cols>
    <col min="1" max="1" width="22" customWidth="1"/>
    <col min="2" max="2" width="8" customWidth="1"/>
    <col min="3" max="36" width="9" customWidth="1"/>
  </cols>
  <sheetData>
    <row r="1" spans="1:36" ht="100" customHeight="1" x14ac:dyDescent="0.35">
      <c r="A1" s="9" t="s">
        <v>0</v>
      </c>
      <c r="B1" s="9"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10" t="s">
        <v>23</v>
      </c>
      <c r="Y1" s="10" t="s">
        <v>24</v>
      </c>
      <c r="Z1" s="10" t="s">
        <v>25</v>
      </c>
      <c r="AA1" s="10" t="s">
        <v>26</v>
      </c>
      <c r="AB1" s="10" t="s">
        <v>27</v>
      </c>
      <c r="AC1" s="10" t="s">
        <v>28</v>
      </c>
      <c r="AD1" s="10" t="s">
        <v>29</v>
      </c>
      <c r="AE1" s="10" t="s">
        <v>30</v>
      </c>
      <c r="AF1" s="10" t="s">
        <v>31</v>
      </c>
      <c r="AG1" s="10" t="s">
        <v>32</v>
      </c>
      <c r="AH1" s="10" t="s">
        <v>33</v>
      </c>
      <c r="AI1" s="10" t="s">
        <v>34</v>
      </c>
      <c r="AJ1" s="10" t="s">
        <v>35</v>
      </c>
    </row>
    <row r="2" spans="1:36" x14ac:dyDescent="0.35">
      <c r="A2" s="14" t="str">
        <f>'Legend Attributes'!A2</f>
        <v>Eden Hazard</v>
      </c>
      <c r="B2" s="15" t="str">
        <f>'Legend Attributes'!B2</f>
        <v>W</v>
      </c>
      <c r="C2" s="15">
        <f>IF('Legend Attributes'!C2=0,0,ROUND(IF(INDEX('Conversion Range'!$E$2:$E$35,MATCH(C$1,'Conversion Range'!$A$2:$A$35,0))=1,INDEX('Conversion Range'!$D$2:$D$35,MATCH(C$1,'Conversion Range'!$A$2:$A$35,0))-(('Legend Attributes'!C2-1)/19)*(INDEX('Conversion Range'!$D$2:$D$35,MATCH(C$1,'Conversion Range'!$A$2:$A$35,0))-INDEX('Conversion Range'!$C$2:$C$35,MATCH(C$1,'Conversion Range'!$A$2:$A$35,0))),INDEX('Conversion Range'!$C$2:$C$35,MATCH(C$1,'Conversion Range'!$A$2:$A$35,0))+(('Legend Attributes'!C2-1)/19)*(INDEX('Conversion Range'!$D$2:$D$35,MATCH(C$1,'Conversion Range'!$A$2:$A$35,0))-INDEX('Conversion Range'!$C$2:$C$35,MATCH(C$1,'Conversion Range'!$A$2:$A$35,0)))),3))</f>
        <v>0.58799999999999997</v>
      </c>
      <c r="D2" s="15">
        <f>IF('Legend Attributes'!D2=0,0,ROUND(IF(INDEX('Conversion Range'!$E$2:$E$35,MATCH(D$1,'Conversion Range'!$A$2:$A$35,0))=1,INDEX('Conversion Range'!$D$2:$D$35,MATCH(D$1,'Conversion Range'!$A$2:$A$35,0))-(('Legend Attributes'!D2-1)/19)*(INDEX('Conversion Range'!$D$2:$D$35,MATCH(D$1,'Conversion Range'!$A$2:$A$35,0))-INDEX('Conversion Range'!$C$2:$C$35,MATCH(D$1,'Conversion Range'!$A$2:$A$35,0))),INDEX('Conversion Range'!$C$2:$C$35,MATCH(D$1,'Conversion Range'!$A$2:$A$35,0))+(('Legend Attributes'!D2-1)/19)*(INDEX('Conversion Range'!$D$2:$D$35,MATCH(D$1,'Conversion Range'!$A$2:$A$35,0))-INDEX('Conversion Range'!$C$2:$C$35,MATCH(D$1,'Conversion Range'!$A$2:$A$35,0)))),3))</f>
        <v>0.51900000000000002</v>
      </c>
      <c r="E2" s="15">
        <f>IF('Legend Attributes'!E2=0,0,ROUND(IF(INDEX('Conversion Range'!$E$2:$E$35,MATCH(E$1,'Conversion Range'!$A$2:$A$35,0))=1,INDEX('Conversion Range'!$D$2:$D$35,MATCH(E$1,'Conversion Range'!$A$2:$A$35,0))-(('Legend Attributes'!E2-1)/19)*(INDEX('Conversion Range'!$D$2:$D$35,MATCH(E$1,'Conversion Range'!$A$2:$A$35,0))-INDEX('Conversion Range'!$C$2:$C$35,MATCH(E$1,'Conversion Range'!$A$2:$A$35,0))),INDEX('Conversion Range'!$C$2:$C$35,MATCH(E$1,'Conversion Range'!$A$2:$A$35,0))+(('Legend Attributes'!E2-1)/19)*(INDEX('Conversion Range'!$D$2:$D$35,MATCH(E$1,'Conversion Range'!$A$2:$A$35,0))-INDEX('Conversion Range'!$C$2:$C$35,MATCH(E$1,'Conversion Range'!$A$2:$A$35,0)))),3))</f>
        <v>0.46500000000000002</v>
      </c>
      <c r="F2" s="15">
        <f>IF('Legend Attributes'!F2=0,0,ROUND(IF(INDEX('Conversion Range'!$E$2:$E$35,MATCH(F$1,'Conversion Range'!$A$2:$A$35,0))=1,INDEX('Conversion Range'!$D$2:$D$35,MATCH(F$1,'Conversion Range'!$A$2:$A$35,0))-(('Legend Attributes'!F2-1)/19)*(INDEX('Conversion Range'!$D$2:$D$35,MATCH(F$1,'Conversion Range'!$A$2:$A$35,0))-INDEX('Conversion Range'!$C$2:$C$35,MATCH(F$1,'Conversion Range'!$A$2:$A$35,0))),INDEX('Conversion Range'!$C$2:$C$35,MATCH(F$1,'Conversion Range'!$A$2:$A$35,0))+(('Legend Attributes'!F2-1)/19)*(INDEX('Conversion Range'!$D$2:$D$35,MATCH(F$1,'Conversion Range'!$A$2:$A$35,0))-INDEX('Conversion Range'!$C$2:$C$35,MATCH(F$1,'Conversion Range'!$A$2:$A$35,0)))),3))</f>
        <v>2.379</v>
      </c>
      <c r="G2" s="15">
        <f>IF('Legend Attributes'!G2=0,0,ROUND(IF(INDEX('Conversion Range'!$E$2:$E$35,MATCH(G$1,'Conversion Range'!$A$2:$A$35,0))=1,INDEX('Conversion Range'!$D$2:$D$35,MATCH(G$1,'Conversion Range'!$A$2:$A$35,0))-(('Legend Attributes'!G2-1)/19)*(INDEX('Conversion Range'!$D$2:$D$35,MATCH(G$1,'Conversion Range'!$A$2:$A$35,0))-INDEX('Conversion Range'!$C$2:$C$35,MATCH(G$1,'Conversion Range'!$A$2:$A$35,0))),INDEX('Conversion Range'!$C$2:$C$35,MATCH(G$1,'Conversion Range'!$A$2:$A$35,0))+(('Legend Attributes'!G2-1)/19)*(INDEX('Conversion Range'!$D$2:$D$35,MATCH(G$1,'Conversion Range'!$A$2:$A$35,0))-INDEX('Conversion Range'!$C$2:$C$35,MATCH(G$1,'Conversion Range'!$A$2:$A$35,0)))),3))</f>
        <v>1.365</v>
      </c>
      <c r="H2" s="15">
        <f>IF('Legend Attributes'!H2=0,0,ROUND(IF(INDEX('Conversion Range'!$E$2:$E$35,MATCH(H$1,'Conversion Range'!$A$2:$A$35,0))=1,INDEX('Conversion Range'!$D$2:$D$35,MATCH(H$1,'Conversion Range'!$A$2:$A$35,0))-(('Legend Attributes'!H2-1)/19)*(INDEX('Conversion Range'!$D$2:$D$35,MATCH(H$1,'Conversion Range'!$A$2:$A$35,0))-INDEX('Conversion Range'!$C$2:$C$35,MATCH(H$1,'Conversion Range'!$A$2:$A$35,0))),INDEX('Conversion Range'!$C$2:$C$35,MATCH(H$1,'Conversion Range'!$A$2:$A$35,0))+(('Legend Attributes'!H2-1)/19)*(INDEX('Conversion Range'!$D$2:$D$35,MATCH(H$1,'Conversion Range'!$A$2:$A$35,0))-INDEX('Conversion Range'!$C$2:$C$35,MATCH(H$1,'Conversion Range'!$A$2:$A$35,0)))),3))</f>
        <v>0.68400000000000005</v>
      </c>
      <c r="I2" s="15">
        <f>IF('Legend Attributes'!I2=0,0,ROUND(IF(INDEX('Conversion Range'!$E$2:$E$35,MATCH(I$1,'Conversion Range'!$A$2:$A$35,0))=1,INDEX('Conversion Range'!$D$2:$D$35,MATCH(I$1,'Conversion Range'!$A$2:$A$35,0))-(('Legend Attributes'!I2-1)/19)*(INDEX('Conversion Range'!$D$2:$D$35,MATCH(I$1,'Conversion Range'!$A$2:$A$35,0))-INDEX('Conversion Range'!$C$2:$C$35,MATCH(I$1,'Conversion Range'!$A$2:$A$35,0))),INDEX('Conversion Range'!$C$2:$C$35,MATCH(I$1,'Conversion Range'!$A$2:$A$35,0))+(('Legend Attributes'!I2-1)/19)*(INDEX('Conversion Range'!$D$2:$D$35,MATCH(I$1,'Conversion Range'!$A$2:$A$35,0))-INDEX('Conversion Range'!$C$2:$C$35,MATCH(I$1,'Conversion Range'!$A$2:$A$35,0)))),3))</f>
        <v>2.0739999999999998</v>
      </c>
      <c r="J2" s="15">
        <f>IF('Legend Attributes'!J2=0,0,ROUND(IF(INDEX('Conversion Range'!$E$2:$E$35,MATCH(J$1,'Conversion Range'!$A$2:$A$35,0))=1,INDEX('Conversion Range'!$D$2:$D$35,MATCH(J$1,'Conversion Range'!$A$2:$A$35,0))-(('Legend Attributes'!J2-1)/19)*(INDEX('Conversion Range'!$D$2:$D$35,MATCH(J$1,'Conversion Range'!$A$2:$A$35,0))-INDEX('Conversion Range'!$C$2:$C$35,MATCH(J$1,'Conversion Range'!$A$2:$A$35,0))),INDEX('Conversion Range'!$C$2:$C$35,MATCH(J$1,'Conversion Range'!$A$2:$A$35,0))+(('Legend Attributes'!J2-1)/19)*(INDEX('Conversion Range'!$D$2:$D$35,MATCH(J$1,'Conversion Range'!$A$2:$A$35,0))-INDEX('Conversion Range'!$C$2:$C$35,MATCH(J$1,'Conversion Range'!$A$2:$A$35,0)))),3))</f>
        <v>1.016</v>
      </c>
      <c r="K2" s="15">
        <f>IF('Legend Attributes'!K2=0,0,ROUND(IF(INDEX('Conversion Range'!$E$2:$E$35,MATCH(K$1,'Conversion Range'!$A$2:$A$35,0))=1,INDEX('Conversion Range'!$D$2:$D$35,MATCH(K$1,'Conversion Range'!$A$2:$A$35,0))-(('Legend Attributes'!K2-1)/19)*(INDEX('Conversion Range'!$D$2:$D$35,MATCH(K$1,'Conversion Range'!$A$2:$A$35,0))-INDEX('Conversion Range'!$C$2:$C$35,MATCH(K$1,'Conversion Range'!$A$2:$A$35,0))),INDEX('Conversion Range'!$C$2:$C$35,MATCH(K$1,'Conversion Range'!$A$2:$A$35,0))+(('Legend Attributes'!K2-1)/19)*(INDEX('Conversion Range'!$D$2:$D$35,MATCH(K$1,'Conversion Range'!$A$2:$A$35,0))-INDEX('Conversion Range'!$C$2:$C$35,MATCH(K$1,'Conversion Range'!$A$2:$A$35,0)))),3))</f>
        <v>0.56299999999999994</v>
      </c>
      <c r="L2" s="15">
        <f>IF('Legend Attributes'!L2=0,0,ROUND(IF(INDEX('Conversion Range'!$E$2:$E$35,MATCH(L$1,'Conversion Range'!$A$2:$A$35,0))=1,INDEX('Conversion Range'!$D$2:$D$35,MATCH(L$1,'Conversion Range'!$A$2:$A$35,0))-(('Legend Attributes'!L2-1)/19)*(INDEX('Conversion Range'!$D$2:$D$35,MATCH(L$1,'Conversion Range'!$A$2:$A$35,0))-INDEX('Conversion Range'!$C$2:$C$35,MATCH(L$1,'Conversion Range'!$A$2:$A$35,0))),INDEX('Conversion Range'!$C$2:$C$35,MATCH(L$1,'Conversion Range'!$A$2:$A$35,0))+(('Legend Attributes'!L2-1)/19)*(INDEX('Conversion Range'!$D$2:$D$35,MATCH(L$1,'Conversion Range'!$A$2:$A$35,0))-INDEX('Conversion Range'!$C$2:$C$35,MATCH(L$1,'Conversion Range'!$A$2:$A$35,0)))),3))</f>
        <v>0</v>
      </c>
      <c r="M2" s="15">
        <f>IF('Legend Attributes'!M2=0,0,ROUND(IF(INDEX('Conversion Range'!$E$2:$E$35,MATCH(M$1,'Conversion Range'!$A$2:$A$35,0))=1,INDEX('Conversion Range'!$D$2:$D$35,MATCH(M$1,'Conversion Range'!$A$2:$A$35,0))-(('Legend Attributes'!M2-1)/19)*(INDEX('Conversion Range'!$D$2:$D$35,MATCH(M$1,'Conversion Range'!$A$2:$A$35,0))-INDEX('Conversion Range'!$C$2:$C$35,MATCH(M$1,'Conversion Range'!$A$2:$A$35,0))),INDEX('Conversion Range'!$C$2:$C$35,MATCH(M$1,'Conversion Range'!$A$2:$A$35,0))+(('Legend Attributes'!M2-1)/19)*(INDEX('Conversion Range'!$D$2:$D$35,MATCH(M$1,'Conversion Range'!$A$2:$A$35,0))-INDEX('Conversion Range'!$C$2:$C$35,MATCH(M$1,'Conversion Range'!$A$2:$A$35,0)))),3))</f>
        <v>0.16800000000000001</v>
      </c>
      <c r="N2" s="15">
        <f>IF('Legend Attributes'!N2=0,0,ROUND(IF(INDEX('Conversion Range'!$E$2:$E$35,MATCH(N$1,'Conversion Range'!$A$2:$A$35,0))=1,INDEX('Conversion Range'!$D$2:$D$35,MATCH(N$1,'Conversion Range'!$A$2:$A$35,0))-(('Legend Attributes'!N2-1)/19)*(INDEX('Conversion Range'!$D$2:$D$35,MATCH(N$1,'Conversion Range'!$A$2:$A$35,0))-INDEX('Conversion Range'!$C$2:$C$35,MATCH(N$1,'Conversion Range'!$A$2:$A$35,0))),INDEX('Conversion Range'!$C$2:$C$35,MATCH(N$1,'Conversion Range'!$A$2:$A$35,0))+(('Legend Attributes'!N2-1)/19)*(INDEX('Conversion Range'!$D$2:$D$35,MATCH(N$1,'Conversion Range'!$A$2:$A$35,0))-INDEX('Conversion Range'!$C$2:$C$35,MATCH(N$1,'Conversion Range'!$A$2:$A$35,0)))),3))</f>
        <v>4.3680000000000003</v>
      </c>
      <c r="O2" s="15">
        <f>IF('Legend Attributes'!O2=0,0,ROUND(IF(INDEX('Conversion Range'!$E$2:$E$35,MATCH(O$1,'Conversion Range'!$A$2:$A$35,0))=1,INDEX('Conversion Range'!$D$2:$D$35,MATCH(O$1,'Conversion Range'!$A$2:$A$35,0))-(('Legend Attributes'!O2-1)/19)*(INDEX('Conversion Range'!$D$2:$D$35,MATCH(O$1,'Conversion Range'!$A$2:$A$35,0))-INDEX('Conversion Range'!$C$2:$C$35,MATCH(O$1,'Conversion Range'!$A$2:$A$35,0))),INDEX('Conversion Range'!$C$2:$C$35,MATCH(O$1,'Conversion Range'!$A$2:$A$35,0))+(('Legend Attributes'!O2-1)/19)*(INDEX('Conversion Range'!$D$2:$D$35,MATCH(O$1,'Conversion Range'!$A$2:$A$35,0))-INDEX('Conversion Range'!$C$2:$C$35,MATCH(O$1,'Conversion Range'!$A$2:$A$35,0)))),3))</f>
        <v>3.0369999999999999</v>
      </c>
      <c r="P2" s="15">
        <f>IF('Legend Attributes'!P2=0,0,ROUND(IF(INDEX('Conversion Range'!$E$2:$E$35,MATCH(P$1,'Conversion Range'!$A$2:$A$35,0))=1,INDEX('Conversion Range'!$D$2:$D$35,MATCH(P$1,'Conversion Range'!$A$2:$A$35,0))-(('Legend Attributes'!P2-1)/19)*(INDEX('Conversion Range'!$D$2:$D$35,MATCH(P$1,'Conversion Range'!$A$2:$A$35,0))-INDEX('Conversion Range'!$C$2:$C$35,MATCH(P$1,'Conversion Range'!$A$2:$A$35,0))),INDEX('Conversion Range'!$C$2:$C$35,MATCH(P$1,'Conversion Range'!$A$2:$A$35,0))+(('Legend Attributes'!P2-1)/19)*(INDEX('Conversion Range'!$D$2:$D$35,MATCH(P$1,'Conversion Range'!$A$2:$A$35,0))-INDEX('Conversion Range'!$C$2:$C$35,MATCH(P$1,'Conversion Range'!$A$2:$A$35,0)))),3))</f>
        <v>76.316000000000003</v>
      </c>
      <c r="Q2" s="15">
        <f>IF('Legend Attributes'!Q2=0,0,ROUND(IF(INDEX('Conversion Range'!$E$2:$E$35,MATCH(Q$1,'Conversion Range'!$A$2:$A$35,0))=1,INDEX('Conversion Range'!$D$2:$D$35,MATCH(Q$1,'Conversion Range'!$A$2:$A$35,0))-(('Legend Attributes'!Q2-1)/19)*(INDEX('Conversion Range'!$D$2:$D$35,MATCH(Q$1,'Conversion Range'!$A$2:$A$35,0))-INDEX('Conversion Range'!$C$2:$C$35,MATCH(Q$1,'Conversion Range'!$A$2:$A$35,0))),INDEX('Conversion Range'!$C$2:$C$35,MATCH(Q$1,'Conversion Range'!$A$2:$A$35,0))+(('Legend Attributes'!Q2-1)/19)*(INDEX('Conversion Range'!$D$2:$D$35,MATCH(Q$1,'Conversion Range'!$A$2:$A$35,0))-INDEX('Conversion Range'!$C$2:$C$35,MATCH(Q$1,'Conversion Range'!$A$2:$A$35,0)))),3))</f>
        <v>55.841999999999999</v>
      </c>
      <c r="R2" s="15">
        <f>IF('Legend Attributes'!R2=0,0,ROUND(IF(INDEX('Conversion Range'!$E$2:$E$35,MATCH(R$1,'Conversion Range'!$A$2:$A$35,0))=1,INDEX('Conversion Range'!$D$2:$D$35,MATCH(R$1,'Conversion Range'!$A$2:$A$35,0))-(('Legend Attributes'!R2-1)/19)*(INDEX('Conversion Range'!$D$2:$D$35,MATCH(R$1,'Conversion Range'!$A$2:$A$35,0))-INDEX('Conversion Range'!$C$2:$C$35,MATCH(R$1,'Conversion Range'!$A$2:$A$35,0))),INDEX('Conversion Range'!$C$2:$C$35,MATCH(R$1,'Conversion Range'!$A$2:$A$35,0))+(('Legend Attributes'!R2-1)/19)*(INDEX('Conversion Range'!$D$2:$D$35,MATCH(R$1,'Conversion Range'!$A$2:$A$35,0))-INDEX('Conversion Range'!$C$2:$C$35,MATCH(R$1,'Conversion Range'!$A$2:$A$35,0)))),3))</f>
        <v>84.474000000000004</v>
      </c>
      <c r="S2" s="15">
        <f>IF('Legend Attributes'!S2=0,0,ROUND(IF(INDEX('Conversion Range'!$E$2:$E$35,MATCH(S$1,'Conversion Range'!$A$2:$A$35,0))=1,INDEX('Conversion Range'!$D$2:$D$35,MATCH(S$1,'Conversion Range'!$A$2:$A$35,0))-(('Legend Attributes'!S2-1)/19)*(INDEX('Conversion Range'!$D$2:$D$35,MATCH(S$1,'Conversion Range'!$A$2:$A$35,0))-INDEX('Conversion Range'!$C$2:$C$35,MATCH(S$1,'Conversion Range'!$A$2:$A$35,0))),INDEX('Conversion Range'!$C$2:$C$35,MATCH(S$1,'Conversion Range'!$A$2:$A$35,0))+(('Legend Attributes'!S2-1)/19)*(INDEX('Conversion Range'!$D$2:$D$35,MATCH(S$1,'Conversion Range'!$A$2:$A$35,0))-INDEX('Conversion Range'!$C$2:$C$35,MATCH(S$1,'Conversion Range'!$A$2:$A$35,0)))),3))</f>
        <v>1.595</v>
      </c>
      <c r="T2" s="15">
        <f>IF('Legend Attributes'!T2=0,0,ROUND(IF(INDEX('Conversion Range'!$E$2:$E$35,MATCH(T$1,'Conversion Range'!$A$2:$A$35,0))=1,INDEX('Conversion Range'!$D$2:$D$35,MATCH(T$1,'Conversion Range'!$A$2:$A$35,0))-(('Legend Attributes'!T2-1)/19)*(INDEX('Conversion Range'!$D$2:$D$35,MATCH(T$1,'Conversion Range'!$A$2:$A$35,0))-INDEX('Conversion Range'!$C$2:$C$35,MATCH(T$1,'Conversion Range'!$A$2:$A$35,0))),INDEX('Conversion Range'!$C$2:$C$35,MATCH(T$1,'Conversion Range'!$A$2:$A$35,0))+(('Legend Attributes'!T2-1)/19)*(INDEX('Conversion Range'!$D$2:$D$35,MATCH(T$1,'Conversion Range'!$A$2:$A$35,0))-INDEX('Conversion Range'!$C$2:$C$35,MATCH(T$1,'Conversion Range'!$A$2:$A$35,0)))),3))</f>
        <v>43.104999999999997</v>
      </c>
      <c r="U2" s="15">
        <f>IF('Legend Attributes'!U2=0,0,ROUND(IF(INDEX('Conversion Range'!$E$2:$E$35,MATCH(U$1,'Conversion Range'!$A$2:$A$35,0))=1,INDEX('Conversion Range'!$D$2:$D$35,MATCH(U$1,'Conversion Range'!$A$2:$A$35,0))-(('Legend Attributes'!U2-1)/19)*(INDEX('Conversion Range'!$D$2:$D$35,MATCH(U$1,'Conversion Range'!$A$2:$A$35,0))-INDEX('Conversion Range'!$C$2:$C$35,MATCH(U$1,'Conversion Range'!$A$2:$A$35,0))),INDEX('Conversion Range'!$C$2:$C$35,MATCH(U$1,'Conversion Range'!$A$2:$A$35,0))+(('Legend Attributes'!U2-1)/19)*(INDEX('Conversion Range'!$D$2:$D$35,MATCH(U$1,'Conversion Range'!$A$2:$A$35,0))-INDEX('Conversion Range'!$C$2:$C$35,MATCH(U$1,'Conversion Range'!$A$2:$A$35,0)))),3))</f>
        <v>1.395</v>
      </c>
      <c r="V2" s="15">
        <f>IF('Legend Attributes'!V2=0,0,ROUND(IF(INDEX('Conversion Range'!$E$2:$E$35,MATCH(V$1,'Conversion Range'!$A$2:$A$35,0))=1,INDEX('Conversion Range'!$D$2:$D$35,MATCH(V$1,'Conversion Range'!$A$2:$A$35,0))-(('Legend Attributes'!V2-1)/19)*(INDEX('Conversion Range'!$D$2:$D$35,MATCH(V$1,'Conversion Range'!$A$2:$A$35,0))-INDEX('Conversion Range'!$C$2:$C$35,MATCH(V$1,'Conversion Range'!$A$2:$A$35,0))),INDEX('Conversion Range'!$C$2:$C$35,MATCH(V$1,'Conversion Range'!$A$2:$A$35,0))+(('Legend Attributes'!V2-1)/19)*(INDEX('Conversion Range'!$D$2:$D$35,MATCH(V$1,'Conversion Range'!$A$2:$A$35,0))-INDEX('Conversion Range'!$C$2:$C$35,MATCH(V$1,'Conversion Range'!$A$2:$A$35,0)))),3))</f>
        <v>48.947000000000003</v>
      </c>
      <c r="W2" s="15">
        <f>IF('Legend Attributes'!W2=0,0,ROUND(IF(INDEX('Conversion Range'!$E$2:$E$35,MATCH(W$1,'Conversion Range'!$A$2:$A$35,0))=1,INDEX('Conversion Range'!$D$2:$D$35,MATCH(W$1,'Conversion Range'!$A$2:$A$35,0))-(('Legend Attributes'!W2-1)/19)*(INDEX('Conversion Range'!$D$2:$D$35,MATCH(W$1,'Conversion Range'!$A$2:$A$35,0))-INDEX('Conversion Range'!$C$2:$C$35,MATCH(W$1,'Conversion Range'!$A$2:$A$35,0))),INDEX('Conversion Range'!$C$2:$C$35,MATCH(W$1,'Conversion Range'!$A$2:$A$35,0))+(('Legend Attributes'!W2-1)/19)*(INDEX('Conversion Range'!$D$2:$D$35,MATCH(W$1,'Conversion Range'!$A$2:$A$35,0))-INDEX('Conversion Range'!$C$2:$C$35,MATCH(W$1,'Conversion Range'!$A$2:$A$35,0)))),3))</f>
        <v>0.42099999999999999</v>
      </c>
      <c r="X2" s="15">
        <f>IF('Legend Attributes'!X2=0,0,ROUND(IF(INDEX('Conversion Range'!$E$2:$E$35,MATCH(X$1,'Conversion Range'!$A$2:$A$35,0))=1,INDEX('Conversion Range'!$D$2:$D$35,MATCH(X$1,'Conversion Range'!$A$2:$A$35,0))-(('Legend Attributes'!X2-1)/19)*(INDEX('Conversion Range'!$D$2:$D$35,MATCH(X$1,'Conversion Range'!$A$2:$A$35,0))-INDEX('Conversion Range'!$C$2:$C$35,MATCH(X$1,'Conversion Range'!$A$2:$A$35,0))),INDEX('Conversion Range'!$C$2:$C$35,MATCH(X$1,'Conversion Range'!$A$2:$A$35,0))+(('Legend Attributes'!X2-1)/19)*(INDEX('Conversion Range'!$D$2:$D$35,MATCH(X$1,'Conversion Range'!$A$2:$A$35,0))-INDEX('Conversion Range'!$C$2:$C$35,MATCH(X$1,'Conversion Range'!$A$2:$A$35,0)))),3))</f>
        <v>0.86799999999999999</v>
      </c>
      <c r="Y2" s="15">
        <f>IF('Legend Attributes'!Y2=0,0,ROUND(IF(INDEX('Conversion Range'!$E$2:$E$35,MATCH(Y$1,'Conversion Range'!$A$2:$A$35,0))=1,INDEX('Conversion Range'!$D$2:$D$35,MATCH(Y$1,'Conversion Range'!$A$2:$A$35,0))-(('Legend Attributes'!Y2-1)/19)*(INDEX('Conversion Range'!$D$2:$D$35,MATCH(Y$1,'Conversion Range'!$A$2:$A$35,0))-INDEX('Conversion Range'!$C$2:$C$35,MATCH(Y$1,'Conversion Range'!$A$2:$A$35,0))),INDEX('Conversion Range'!$C$2:$C$35,MATCH(Y$1,'Conversion Range'!$A$2:$A$35,0))+(('Legend Attributes'!Y2-1)/19)*(INDEX('Conversion Range'!$D$2:$D$35,MATCH(Y$1,'Conversion Range'!$A$2:$A$35,0))-INDEX('Conversion Range'!$C$2:$C$35,MATCH(Y$1,'Conversion Range'!$A$2:$A$35,0)))),3))</f>
        <v>0.33200000000000002</v>
      </c>
      <c r="Z2" s="15">
        <f>IF('Legend Attributes'!Z2=0,0,ROUND(IF(INDEX('Conversion Range'!$E$2:$E$35,MATCH(Z$1,'Conversion Range'!$A$2:$A$35,0))=1,INDEX('Conversion Range'!$D$2:$D$35,MATCH(Z$1,'Conversion Range'!$A$2:$A$35,0))-(('Legend Attributes'!Z2-1)/19)*(INDEX('Conversion Range'!$D$2:$D$35,MATCH(Z$1,'Conversion Range'!$A$2:$A$35,0))-INDEX('Conversion Range'!$C$2:$C$35,MATCH(Z$1,'Conversion Range'!$A$2:$A$35,0))),INDEX('Conversion Range'!$C$2:$C$35,MATCH(Z$1,'Conversion Range'!$A$2:$A$35,0))+(('Legend Attributes'!Z2-1)/19)*(INDEX('Conversion Range'!$D$2:$D$35,MATCH(Z$1,'Conversion Range'!$A$2:$A$35,0))-INDEX('Conversion Range'!$C$2:$C$35,MATCH(Z$1,'Conversion Range'!$A$2:$A$35,0)))),3))</f>
        <v>8.7629999999999999</v>
      </c>
      <c r="AA2" s="15">
        <f>IF('Legend Attributes'!AA2=0,0,ROUND(IF(INDEX('Conversion Range'!$E$2:$E$35,MATCH(AA$1,'Conversion Range'!$A$2:$A$35,0))=1,INDEX('Conversion Range'!$D$2:$D$35,MATCH(AA$1,'Conversion Range'!$A$2:$A$35,0))-(('Legend Attributes'!AA2-1)/19)*(INDEX('Conversion Range'!$D$2:$D$35,MATCH(AA$1,'Conversion Range'!$A$2:$A$35,0))-INDEX('Conversion Range'!$C$2:$C$35,MATCH(AA$1,'Conversion Range'!$A$2:$A$35,0))),INDEX('Conversion Range'!$C$2:$C$35,MATCH(AA$1,'Conversion Range'!$A$2:$A$35,0))+(('Legend Attributes'!AA2-1)/19)*(INDEX('Conversion Range'!$D$2:$D$35,MATCH(AA$1,'Conversion Range'!$A$2:$A$35,0))-INDEX('Conversion Range'!$C$2:$C$35,MATCH(AA$1,'Conversion Range'!$A$2:$A$35,0)))),3))</f>
        <v>0.20300000000000001</v>
      </c>
      <c r="AB2" s="15">
        <f>IF('Legend Attributes'!AB2=0,0,ROUND(IF(INDEX('Conversion Range'!$E$2:$E$35,MATCH(AB$1,'Conversion Range'!$A$2:$A$35,0))=1,INDEX('Conversion Range'!$D$2:$D$35,MATCH(AB$1,'Conversion Range'!$A$2:$A$35,0))-(('Legend Attributes'!AB2-1)/19)*(INDEX('Conversion Range'!$D$2:$D$35,MATCH(AB$1,'Conversion Range'!$A$2:$A$35,0))-INDEX('Conversion Range'!$C$2:$C$35,MATCH(AB$1,'Conversion Range'!$A$2:$A$35,0))),INDEX('Conversion Range'!$C$2:$C$35,MATCH(AB$1,'Conversion Range'!$A$2:$A$35,0))+(('Legend Attributes'!AB2-1)/19)*(INDEX('Conversion Range'!$D$2:$D$35,MATCH(AB$1,'Conversion Range'!$A$2:$A$35,0))-INDEX('Conversion Range'!$C$2:$C$35,MATCH(AB$1,'Conversion Range'!$A$2:$A$35,0)))),3))</f>
        <v>0.80800000000000005</v>
      </c>
      <c r="AC2" s="15">
        <f>IF('Legend Attributes'!AC2=0,0,ROUND(IF(INDEX('Conversion Range'!$E$2:$E$35,MATCH(AC$1,'Conversion Range'!$A$2:$A$35,0))=1,INDEX('Conversion Range'!$D$2:$D$35,MATCH(AC$1,'Conversion Range'!$A$2:$A$35,0))-(('Legend Attributes'!AC2-1)/19)*(INDEX('Conversion Range'!$D$2:$D$35,MATCH(AC$1,'Conversion Range'!$A$2:$A$35,0))-INDEX('Conversion Range'!$C$2:$C$35,MATCH(AC$1,'Conversion Range'!$A$2:$A$35,0))),INDEX('Conversion Range'!$C$2:$C$35,MATCH(AC$1,'Conversion Range'!$A$2:$A$35,0))+(('Legend Attributes'!AC2-1)/19)*(INDEX('Conversion Range'!$D$2:$D$35,MATCH(AC$1,'Conversion Range'!$A$2:$A$35,0))-INDEX('Conversion Range'!$C$2:$C$35,MATCH(AC$1,'Conversion Range'!$A$2:$A$35,0)))),3))</f>
        <v>0.441</v>
      </c>
      <c r="AD2" s="15">
        <f>IF('Legend Attributes'!AD2=0,0,ROUND(IF(INDEX('Conversion Range'!$E$2:$E$35,MATCH(AD$1,'Conversion Range'!$A$2:$A$35,0))=1,INDEX('Conversion Range'!$D$2:$D$35,MATCH(AD$1,'Conversion Range'!$A$2:$A$35,0))-(('Legend Attributes'!AD2-1)/19)*(INDEX('Conversion Range'!$D$2:$D$35,MATCH(AD$1,'Conversion Range'!$A$2:$A$35,0))-INDEX('Conversion Range'!$C$2:$C$35,MATCH(AD$1,'Conversion Range'!$A$2:$A$35,0))),INDEX('Conversion Range'!$C$2:$C$35,MATCH(AD$1,'Conversion Range'!$A$2:$A$35,0))+(('Legend Attributes'!AD2-1)/19)*(INDEX('Conversion Range'!$D$2:$D$35,MATCH(AD$1,'Conversion Range'!$A$2:$A$35,0))-INDEX('Conversion Range'!$C$2:$C$35,MATCH(AD$1,'Conversion Range'!$A$2:$A$35,0)))),3))</f>
        <v>0</v>
      </c>
      <c r="AE2" s="15">
        <f>IF('Legend Attributes'!AE2=0,0,ROUND(IF(INDEX('Conversion Range'!$E$2:$E$35,MATCH(AE$1,'Conversion Range'!$A$2:$A$35,0))=1,INDEX('Conversion Range'!$D$2:$D$35,MATCH(AE$1,'Conversion Range'!$A$2:$A$35,0))-(('Legend Attributes'!AE2-1)/19)*(INDEX('Conversion Range'!$D$2:$D$35,MATCH(AE$1,'Conversion Range'!$A$2:$A$35,0))-INDEX('Conversion Range'!$C$2:$C$35,MATCH(AE$1,'Conversion Range'!$A$2:$A$35,0))),INDEX('Conversion Range'!$C$2:$C$35,MATCH(AE$1,'Conversion Range'!$A$2:$A$35,0))+(('Legend Attributes'!AE2-1)/19)*(INDEX('Conversion Range'!$D$2:$D$35,MATCH(AE$1,'Conversion Range'!$A$2:$A$35,0))-INDEX('Conversion Range'!$C$2:$C$35,MATCH(AE$1,'Conversion Range'!$A$2:$A$35,0)))),3))</f>
        <v>0</v>
      </c>
      <c r="AF2" s="15">
        <f>IF('Legend Attributes'!AF2=0,0,ROUND(IF(INDEX('Conversion Range'!$E$2:$E$35,MATCH(AF$1,'Conversion Range'!$A$2:$A$35,0))=1,INDEX('Conversion Range'!$D$2:$D$35,MATCH(AF$1,'Conversion Range'!$A$2:$A$35,0))-(('Legend Attributes'!AF2-1)/19)*(INDEX('Conversion Range'!$D$2:$D$35,MATCH(AF$1,'Conversion Range'!$A$2:$A$35,0))-INDEX('Conversion Range'!$C$2:$C$35,MATCH(AF$1,'Conversion Range'!$A$2:$A$35,0))),INDEX('Conversion Range'!$C$2:$C$35,MATCH(AF$1,'Conversion Range'!$A$2:$A$35,0))+(('Legend Attributes'!AF2-1)/19)*(INDEX('Conversion Range'!$D$2:$D$35,MATCH(AF$1,'Conversion Range'!$A$2:$A$35,0))-INDEX('Conversion Range'!$C$2:$C$35,MATCH(AF$1,'Conversion Range'!$A$2:$A$35,0)))),3))</f>
        <v>0</v>
      </c>
      <c r="AG2" s="15">
        <f>IF('Legend Attributes'!AG2=0,0,ROUND(IF(INDEX('Conversion Range'!$E$2:$E$35,MATCH(AG$1,'Conversion Range'!$A$2:$A$35,0))=1,INDEX('Conversion Range'!$D$2:$D$35,MATCH(AG$1,'Conversion Range'!$A$2:$A$35,0))-(('Legend Attributes'!AG2-1)/19)*(INDEX('Conversion Range'!$D$2:$D$35,MATCH(AG$1,'Conversion Range'!$A$2:$A$35,0))-INDEX('Conversion Range'!$C$2:$C$35,MATCH(AG$1,'Conversion Range'!$A$2:$A$35,0))),INDEX('Conversion Range'!$C$2:$C$35,MATCH(AG$1,'Conversion Range'!$A$2:$A$35,0))+(('Legend Attributes'!AG2-1)/19)*(INDEX('Conversion Range'!$D$2:$D$35,MATCH(AG$1,'Conversion Range'!$A$2:$A$35,0))-INDEX('Conversion Range'!$C$2:$C$35,MATCH(AG$1,'Conversion Range'!$A$2:$A$35,0)))),3))</f>
        <v>0.89500000000000002</v>
      </c>
      <c r="AH2" s="15">
        <f>IF('Legend Attributes'!AH2=0,0,ROUND(IF(INDEX('Conversion Range'!$E$2:$E$35,MATCH(AH$1,'Conversion Range'!$A$2:$A$35,0))=1,INDEX('Conversion Range'!$D$2:$D$35,MATCH(AH$1,'Conversion Range'!$A$2:$A$35,0))-(('Legend Attributes'!AH2-1)/19)*(INDEX('Conversion Range'!$D$2:$D$35,MATCH(AH$1,'Conversion Range'!$A$2:$A$35,0))-INDEX('Conversion Range'!$C$2:$C$35,MATCH(AH$1,'Conversion Range'!$A$2:$A$35,0))),INDEX('Conversion Range'!$C$2:$C$35,MATCH(AH$1,'Conversion Range'!$A$2:$A$35,0))+(('Legend Attributes'!AH2-1)/19)*(INDEX('Conversion Range'!$D$2:$D$35,MATCH(AH$1,'Conversion Range'!$A$2:$A$35,0))-INDEX('Conversion Range'!$C$2:$C$35,MATCH(AH$1,'Conversion Range'!$A$2:$A$35,0)))),3))</f>
        <v>0.13300000000000001</v>
      </c>
      <c r="AI2" s="15">
        <f>IF('Legend Attributes'!AI2=0,0,ROUND(IF(INDEX('Conversion Range'!$E$2:$E$35,MATCH(AI$1,'Conversion Range'!$A$2:$A$35,0))=1,INDEX('Conversion Range'!$D$2:$D$35,MATCH(AI$1,'Conversion Range'!$A$2:$A$35,0))-(('Legend Attributes'!AI2-1)/19)*(INDEX('Conversion Range'!$D$2:$D$35,MATCH(AI$1,'Conversion Range'!$A$2:$A$35,0))-INDEX('Conversion Range'!$C$2:$C$35,MATCH(AI$1,'Conversion Range'!$A$2:$A$35,0))),INDEX('Conversion Range'!$C$2:$C$35,MATCH(AI$1,'Conversion Range'!$A$2:$A$35,0))+(('Legend Attributes'!AI2-1)/19)*(INDEX('Conversion Range'!$D$2:$D$35,MATCH(AI$1,'Conversion Range'!$A$2:$A$35,0))-INDEX('Conversion Range'!$C$2:$C$35,MATCH(AI$1,'Conversion Range'!$A$2:$A$35,0)))),3))</f>
        <v>1.9E-2</v>
      </c>
      <c r="AJ2" s="15">
        <f>IF('Legend Attributes'!AJ2=0,0,ROUND(IF(INDEX('Conversion Range'!$E$2:$E$35,MATCH(AJ$1,'Conversion Range'!$A$2:$A$35,0))=1,INDEX('Conversion Range'!$D$2:$D$35,MATCH(AJ$1,'Conversion Range'!$A$2:$A$35,0))-(('Legend Attributes'!AJ2-1)/19)*(INDEX('Conversion Range'!$D$2:$D$35,MATCH(AJ$1,'Conversion Range'!$A$2:$A$35,0))-INDEX('Conversion Range'!$C$2:$C$35,MATCH(AJ$1,'Conversion Range'!$A$2:$A$35,0))),INDEX('Conversion Range'!$C$2:$C$35,MATCH(AJ$1,'Conversion Range'!$A$2:$A$35,0))+(('Legend Attributes'!AJ2-1)/19)*(INDEX('Conversion Range'!$D$2:$D$35,MATCH(AJ$1,'Conversion Range'!$A$2:$A$35,0))-INDEX('Conversion Range'!$C$2:$C$35,MATCH(AJ$1,'Conversion Range'!$A$2:$A$35,0)))),3))</f>
        <v>7.9160000000000004</v>
      </c>
    </row>
    <row r="3" spans="1:36" x14ac:dyDescent="0.35">
      <c r="A3" s="14" t="str">
        <f>'Legend Attributes'!A3</f>
        <v>Luis Suárez</v>
      </c>
      <c r="B3" s="15" t="str">
        <f>'Legend Attributes'!B3</f>
        <v>ST</v>
      </c>
      <c r="C3" s="15">
        <f>IF('Legend Attributes'!C3=0,0,ROUND(IF(INDEX('Conversion Range'!$E$2:$E$35,MATCH(C$1,'Conversion Range'!$A$2:$A$35,0))=1,INDEX('Conversion Range'!$D$2:$D$35,MATCH(C$1,'Conversion Range'!$A$2:$A$35,0))-(('Legend Attributes'!C3-1)/19)*(INDEX('Conversion Range'!$D$2:$D$35,MATCH(C$1,'Conversion Range'!$A$2:$A$35,0))-INDEX('Conversion Range'!$C$2:$C$35,MATCH(C$1,'Conversion Range'!$A$2:$A$35,0))),INDEX('Conversion Range'!$C$2:$C$35,MATCH(C$1,'Conversion Range'!$A$2:$A$35,0))+(('Legend Attributes'!C3-1)/19)*(INDEX('Conversion Range'!$D$2:$D$35,MATCH(C$1,'Conversion Range'!$A$2:$A$35,0))-INDEX('Conversion Range'!$C$2:$C$35,MATCH(C$1,'Conversion Range'!$A$2:$A$35,0)))),3))</f>
        <v>0.71899999999999997</v>
      </c>
      <c r="D3" s="15">
        <f>IF('Legend Attributes'!D3=0,0,ROUND(IF(INDEX('Conversion Range'!$E$2:$E$35,MATCH(D$1,'Conversion Range'!$A$2:$A$35,0))=1,INDEX('Conversion Range'!$D$2:$D$35,MATCH(D$1,'Conversion Range'!$A$2:$A$35,0))-(('Legend Attributes'!D3-1)/19)*(INDEX('Conversion Range'!$D$2:$D$35,MATCH(D$1,'Conversion Range'!$A$2:$A$35,0))-INDEX('Conversion Range'!$C$2:$C$35,MATCH(D$1,'Conversion Range'!$A$2:$A$35,0))),INDEX('Conversion Range'!$C$2:$C$35,MATCH(D$1,'Conversion Range'!$A$2:$A$35,0))+(('Legend Attributes'!D3-1)/19)*(INDEX('Conversion Range'!$D$2:$D$35,MATCH(D$1,'Conversion Range'!$A$2:$A$35,0))-INDEX('Conversion Range'!$C$2:$C$35,MATCH(D$1,'Conversion Range'!$A$2:$A$35,0)))),3))</f>
        <v>0.59599999999999997</v>
      </c>
      <c r="E3" s="15">
        <f>IF('Legend Attributes'!E3=0,0,ROUND(IF(INDEX('Conversion Range'!$E$2:$E$35,MATCH(E$1,'Conversion Range'!$A$2:$A$35,0))=1,INDEX('Conversion Range'!$D$2:$D$35,MATCH(E$1,'Conversion Range'!$A$2:$A$35,0))-(('Legend Attributes'!E3-1)/19)*(INDEX('Conversion Range'!$D$2:$D$35,MATCH(E$1,'Conversion Range'!$A$2:$A$35,0))-INDEX('Conversion Range'!$C$2:$C$35,MATCH(E$1,'Conversion Range'!$A$2:$A$35,0))),INDEX('Conversion Range'!$C$2:$C$35,MATCH(E$1,'Conversion Range'!$A$2:$A$35,0))+(('Legend Attributes'!E3-1)/19)*(INDEX('Conversion Range'!$D$2:$D$35,MATCH(E$1,'Conversion Range'!$A$2:$A$35,0))-INDEX('Conversion Range'!$C$2:$C$35,MATCH(E$1,'Conversion Range'!$A$2:$A$35,0)))),3))</f>
        <v>0.379</v>
      </c>
      <c r="F3" s="15">
        <f>IF('Legend Attributes'!F3=0,0,ROUND(IF(INDEX('Conversion Range'!$E$2:$E$35,MATCH(F$1,'Conversion Range'!$A$2:$A$35,0))=1,INDEX('Conversion Range'!$D$2:$D$35,MATCH(F$1,'Conversion Range'!$A$2:$A$35,0))-(('Legend Attributes'!F3-1)/19)*(INDEX('Conversion Range'!$D$2:$D$35,MATCH(F$1,'Conversion Range'!$A$2:$A$35,0))-INDEX('Conversion Range'!$C$2:$C$35,MATCH(F$1,'Conversion Range'!$A$2:$A$35,0))),INDEX('Conversion Range'!$C$2:$C$35,MATCH(F$1,'Conversion Range'!$A$2:$A$35,0))+(('Legend Attributes'!F3-1)/19)*(INDEX('Conversion Range'!$D$2:$D$35,MATCH(F$1,'Conversion Range'!$A$2:$A$35,0))-INDEX('Conversion Range'!$C$2:$C$35,MATCH(F$1,'Conversion Range'!$A$2:$A$35,0)))),3))</f>
        <v>3.1890000000000001</v>
      </c>
      <c r="G3" s="15">
        <f>IF('Legend Attributes'!G3=0,0,ROUND(IF(INDEX('Conversion Range'!$E$2:$E$35,MATCH(G$1,'Conversion Range'!$A$2:$A$35,0))=1,INDEX('Conversion Range'!$D$2:$D$35,MATCH(G$1,'Conversion Range'!$A$2:$A$35,0))-(('Legend Attributes'!G3-1)/19)*(INDEX('Conversion Range'!$D$2:$D$35,MATCH(G$1,'Conversion Range'!$A$2:$A$35,0))-INDEX('Conversion Range'!$C$2:$C$35,MATCH(G$1,'Conversion Range'!$A$2:$A$35,0))),INDEX('Conversion Range'!$C$2:$C$35,MATCH(G$1,'Conversion Range'!$A$2:$A$35,0))+(('Legend Attributes'!G3-1)/19)*(INDEX('Conversion Range'!$D$2:$D$35,MATCH(G$1,'Conversion Range'!$A$2:$A$35,0))-INDEX('Conversion Range'!$C$2:$C$35,MATCH(G$1,'Conversion Range'!$A$2:$A$35,0)))),3))</f>
        <v>1.716</v>
      </c>
      <c r="H3" s="15">
        <f>IF('Legend Attributes'!H3=0,0,ROUND(IF(INDEX('Conversion Range'!$E$2:$E$35,MATCH(H$1,'Conversion Range'!$A$2:$A$35,0))=1,INDEX('Conversion Range'!$D$2:$D$35,MATCH(H$1,'Conversion Range'!$A$2:$A$35,0))-(('Legend Attributes'!H3-1)/19)*(INDEX('Conversion Range'!$D$2:$D$35,MATCH(H$1,'Conversion Range'!$A$2:$A$35,0))-INDEX('Conversion Range'!$C$2:$C$35,MATCH(H$1,'Conversion Range'!$A$2:$A$35,0))),INDEX('Conversion Range'!$C$2:$C$35,MATCH(H$1,'Conversion Range'!$A$2:$A$35,0))+(('Legend Attributes'!H3-1)/19)*(INDEX('Conversion Range'!$D$2:$D$35,MATCH(H$1,'Conversion Range'!$A$2:$A$35,0))-INDEX('Conversion Range'!$C$2:$C$35,MATCH(H$1,'Conversion Range'!$A$2:$A$35,0)))),3))</f>
        <v>0.84199999999999997</v>
      </c>
      <c r="I3" s="15">
        <f>IF('Legend Attributes'!I3=0,0,ROUND(IF(INDEX('Conversion Range'!$E$2:$E$35,MATCH(I$1,'Conversion Range'!$A$2:$A$35,0))=1,INDEX('Conversion Range'!$D$2:$D$35,MATCH(I$1,'Conversion Range'!$A$2:$A$35,0))-(('Legend Attributes'!I3-1)/19)*(INDEX('Conversion Range'!$D$2:$D$35,MATCH(I$1,'Conversion Range'!$A$2:$A$35,0))-INDEX('Conversion Range'!$C$2:$C$35,MATCH(I$1,'Conversion Range'!$A$2:$A$35,0))),INDEX('Conversion Range'!$C$2:$C$35,MATCH(I$1,'Conversion Range'!$A$2:$A$35,0))+(('Legend Attributes'!I3-1)/19)*(INDEX('Conversion Range'!$D$2:$D$35,MATCH(I$1,'Conversion Range'!$A$2:$A$35,0))-INDEX('Conversion Range'!$C$2:$C$35,MATCH(I$1,'Conversion Range'!$A$2:$A$35,0)))),3))</f>
        <v>1.5469999999999999</v>
      </c>
      <c r="J3" s="15">
        <f>IF('Legend Attributes'!J3=0,0,ROUND(IF(INDEX('Conversion Range'!$E$2:$E$35,MATCH(J$1,'Conversion Range'!$A$2:$A$35,0))=1,INDEX('Conversion Range'!$D$2:$D$35,MATCH(J$1,'Conversion Range'!$A$2:$A$35,0))-(('Legend Attributes'!J3-1)/19)*(INDEX('Conversion Range'!$D$2:$D$35,MATCH(J$1,'Conversion Range'!$A$2:$A$35,0))-INDEX('Conversion Range'!$C$2:$C$35,MATCH(J$1,'Conversion Range'!$A$2:$A$35,0))),INDEX('Conversion Range'!$C$2:$C$35,MATCH(J$1,'Conversion Range'!$A$2:$A$35,0))+(('Legend Attributes'!J3-1)/19)*(INDEX('Conversion Range'!$D$2:$D$35,MATCH(J$1,'Conversion Range'!$A$2:$A$35,0))-INDEX('Conversion Range'!$C$2:$C$35,MATCH(J$1,'Conversion Range'!$A$2:$A$35,0)))),3))</f>
        <v>1.179</v>
      </c>
      <c r="K3" s="15">
        <f>IF('Legend Attributes'!K3=0,0,ROUND(IF(INDEX('Conversion Range'!$E$2:$E$35,MATCH(K$1,'Conversion Range'!$A$2:$A$35,0))=1,INDEX('Conversion Range'!$D$2:$D$35,MATCH(K$1,'Conversion Range'!$A$2:$A$35,0))-(('Legend Attributes'!K3-1)/19)*(INDEX('Conversion Range'!$D$2:$D$35,MATCH(K$1,'Conversion Range'!$A$2:$A$35,0))-INDEX('Conversion Range'!$C$2:$C$35,MATCH(K$1,'Conversion Range'!$A$2:$A$35,0))),INDEX('Conversion Range'!$C$2:$C$35,MATCH(K$1,'Conversion Range'!$A$2:$A$35,0))+(('Legend Attributes'!K3-1)/19)*(INDEX('Conversion Range'!$D$2:$D$35,MATCH(K$1,'Conversion Range'!$A$2:$A$35,0))-INDEX('Conversion Range'!$C$2:$C$35,MATCH(K$1,'Conversion Range'!$A$2:$A$35,0)))),3))</f>
        <v>0.67900000000000005</v>
      </c>
      <c r="L3" s="15">
        <f>IF('Legend Attributes'!L3=0,0,ROUND(IF(INDEX('Conversion Range'!$E$2:$E$35,MATCH(L$1,'Conversion Range'!$A$2:$A$35,0))=1,INDEX('Conversion Range'!$D$2:$D$35,MATCH(L$1,'Conversion Range'!$A$2:$A$35,0))-(('Legend Attributes'!L3-1)/19)*(INDEX('Conversion Range'!$D$2:$D$35,MATCH(L$1,'Conversion Range'!$A$2:$A$35,0))-INDEX('Conversion Range'!$C$2:$C$35,MATCH(L$1,'Conversion Range'!$A$2:$A$35,0))),INDEX('Conversion Range'!$C$2:$C$35,MATCH(L$1,'Conversion Range'!$A$2:$A$35,0))+(('Legend Attributes'!L3-1)/19)*(INDEX('Conversion Range'!$D$2:$D$35,MATCH(L$1,'Conversion Range'!$A$2:$A$35,0))-INDEX('Conversion Range'!$C$2:$C$35,MATCH(L$1,'Conversion Range'!$A$2:$A$35,0)))),3))</f>
        <v>0.32600000000000001</v>
      </c>
      <c r="M3" s="15">
        <f>IF('Legend Attributes'!M3=0,0,ROUND(IF(INDEX('Conversion Range'!$E$2:$E$35,MATCH(M$1,'Conversion Range'!$A$2:$A$35,0))=1,INDEX('Conversion Range'!$D$2:$D$35,MATCH(M$1,'Conversion Range'!$A$2:$A$35,0))-(('Legend Attributes'!M3-1)/19)*(INDEX('Conversion Range'!$D$2:$D$35,MATCH(M$1,'Conversion Range'!$A$2:$A$35,0))-INDEX('Conversion Range'!$C$2:$C$35,MATCH(M$1,'Conversion Range'!$A$2:$A$35,0))),INDEX('Conversion Range'!$C$2:$C$35,MATCH(M$1,'Conversion Range'!$A$2:$A$35,0))+(('Legend Attributes'!M3-1)/19)*(INDEX('Conversion Range'!$D$2:$D$35,MATCH(M$1,'Conversion Range'!$A$2:$A$35,0))-INDEX('Conversion Range'!$C$2:$C$35,MATCH(M$1,'Conversion Range'!$A$2:$A$35,0)))),3))</f>
        <v>0.16800000000000001</v>
      </c>
      <c r="N3" s="15">
        <f>IF('Legend Attributes'!N3=0,0,ROUND(IF(INDEX('Conversion Range'!$E$2:$E$35,MATCH(N$1,'Conversion Range'!$A$2:$A$35,0))=1,INDEX('Conversion Range'!$D$2:$D$35,MATCH(N$1,'Conversion Range'!$A$2:$A$35,0))-(('Legend Attributes'!N3-1)/19)*(INDEX('Conversion Range'!$D$2:$D$35,MATCH(N$1,'Conversion Range'!$A$2:$A$35,0))-INDEX('Conversion Range'!$C$2:$C$35,MATCH(N$1,'Conversion Range'!$A$2:$A$35,0))),INDEX('Conversion Range'!$C$2:$C$35,MATCH(N$1,'Conversion Range'!$A$2:$A$35,0))+(('Legend Attributes'!N3-1)/19)*(INDEX('Conversion Range'!$D$2:$D$35,MATCH(N$1,'Conversion Range'!$A$2:$A$35,0))-INDEX('Conversion Range'!$C$2:$C$35,MATCH(N$1,'Conversion Range'!$A$2:$A$35,0)))),3))</f>
        <v>5.1580000000000004</v>
      </c>
      <c r="O3" s="15">
        <f>IF('Legend Attributes'!O3=0,0,ROUND(IF(INDEX('Conversion Range'!$E$2:$E$35,MATCH(O$1,'Conversion Range'!$A$2:$A$35,0))=1,INDEX('Conversion Range'!$D$2:$D$35,MATCH(O$1,'Conversion Range'!$A$2:$A$35,0))-(('Legend Attributes'!O3-1)/19)*(INDEX('Conversion Range'!$D$2:$D$35,MATCH(O$1,'Conversion Range'!$A$2:$A$35,0))-INDEX('Conversion Range'!$C$2:$C$35,MATCH(O$1,'Conversion Range'!$A$2:$A$35,0))),INDEX('Conversion Range'!$C$2:$C$35,MATCH(O$1,'Conversion Range'!$A$2:$A$35,0))+(('Legend Attributes'!O3-1)/19)*(INDEX('Conversion Range'!$D$2:$D$35,MATCH(O$1,'Conversion Range'!$A$2:$A$35,0))-INDEX('Conversion Range'!$C$2:$C$35,MATCH(O$1,'Conversion Range'!$A$2:$A$35,0)))),3))</f>
        <v>2.3839999999999999</v>
      </c>
      <c r="P3" s="15">
        <f>IF('Legend Attributes'!P3=0,0,ROUND(IF(INDEX('Conversion Range'!$E$2:$E$35,MATCH(P$1,'Conversion Range'!$A$2:$A$35,0))=1,INDEX('Conversion Range'!$D$2:$D$35,MATCH(P$1,'Conversion Range'!$A$2:$A$35,0))-(('Legend Attributes'!P3-1)/19)*(INDEX('Conversion Range'!$D$2:$D$35,MATCH(P$1,'Conversion Range'!$A$2:$A$35,0))-INDEX('Conversion Range'!$C$2:$C$35,MATCH(P$1,'Conversion Range'!$A$2:$A$35,0))),INDEX('Conversion Range'!$C$2:$C$35,MATCH(P$1,'Conversion Range'!$A$2:$A$35,0))+(('Legend Attributes'!P3-1)/19)*(INDEX('Conversion Range'!$D$2:$D$35,MATCH(P$1,'Conversion Range'!$A$2:$A$35,0))-INDEX('Conversion Range'!$C$2:$C$35,MATCH(P$1,'Conversion Range'!$A$2:$A$35,0)))),3))</f>
        <v>70.525999999999996</v>
      </c>
      <c r="Q3" s="15">
        <f>IF('Legend Attributes'!Q3=0,0,ROUND(IF(INDEX('Conversion Range'!$E$2:$E$35,MATCH(Q$1,'Conversion Range'!$A$2:$A$35,0))=1,INDEX('Conversion Range'!$D$2:$D$35,MATCH(Q$1,'Conversion Range'!$A$2:$A$35,0))-(('Legend Attributes'!Q3-1)/19)*(INDEX('Conversion Range'!$D$2:$D$35,MATCH(Q$1,'Conversion Range'!$A$2:$A$35,0))-INDEX('Conversion Range'!$C$2:$C$35,MATCH(Q$1,'Conversion Range'!$A$2:$A$35,0))),INDEX('Conversion Range'!$C$2:$C$35,MATCH(Q$1,'Conversion Range'!$A$2:$A$35,0))+(('Legend Attributes'!Q3-1)/19)*(INDEX('Conversion Range'!$D$2:$D$35,MATCH(Q$1,'Conversion Range'!$A$2:$A$35,0))-INDEX('Conversion Range'!$C$2:$C$35,MATCH(Q$1,'Conversion Range'!$A$2:$A$35,0)))),3))</f>
        <v>59.316000000000003</v>
      </c>
      <c r="R3" s="15">
        <f>IF('Legend Attributes'!R3=0,0,ROUND(IF(INDEX('Conversion Range'!$E$2:$E$35,MATCH(R$1,'Conversion Range'!$A$2:$A$35,0))=1,INDEX('Conversion Range'!$D$2:$D$35,MATCH(R$1,'Conversion Range'!$A$2:$A$35,0))-(('Legend Attributes'!R3-1)/19)*(INDEX('Conversion Range'!$D$2:$D$35,MATCH(R$1,'Conversion Range'!$A$2:$A$35,0))-INDEX('Conversion Range'!$C$2:$C$35,MATCH(R$1,'Conversion Range'!$A$2:$A$35,0))),INDEX('Conversion Range'!$C$2:$C$35,MATCH(R$1,'Conversion Range'!$A$2:$A$35,0))+(('Legend Attributes'!R3-1)/19)*(INDEX('Conversion Range'!$D$2:$D$35,MATCH(R$1,'Conversion Range'!$A$2:$A$35,0))-INDEX('Conversion Range'!$C$2:$C$35,MATCH(R$1,'Conversion Range'!$A$2:$A$35,0)))),3))</f>
        <v>80.263000000000005</v>
      </c>
      <c r="S3" s="15">
        <f>IF('Legend Attributes'!S3=0,0,ROUND(IF(INDEX('Conversion Range'!$E$2:$E$35,MATCH(S$1,'Conversion Range'!$A$2:$A$35,0))=1,INDEX('Conversion Range'!$D$2:$D$35,MATCH(S$1,'Conversion Range'!$A$2:$A$35,0))-(('Legend Attributes'!S3-1)/19)*(INDEX('Conversion Range'!$D$2:$D$35,MATCH(S$1,'Conversion Range'!$A$2:$A$35,0))-INDEX('Conversion Range'!$C$2:$C$35,MATCH(S$1,'Conversion Range'!$A$2:$A$35,0))),INDEX('Conversion Range'!$C$2:$C$35,MATCH(S$1,'Conversion Range'!$A$2:$A$35,0))+(('Legend Attributes'!S3-1)/19)*(INDEX('Conversion Range'!$D$2:$D$35,MATCH(S$1,'Conversion Range'!$A$2:$A$35,0))-INDEX('Conversion Range'!$C$2:$C$35,MATCH(S$1,'Conversion Range'!$A$2:$A$35,0)))),3))</f>
        <v>1.595</v>
      </c>
      <c r="T3" s="15">
        <f>IF('Legend Attributes'!T3=0,0,ROUND(IF(INDEX('Conversion Range'!$E$2:$E$35,MATCH(T$1,'Conversion Range'!$A$2:$A$35,0))=1,INDEX('Conversion Range'!$D$2:$D$35,MATCH(T$1,'Conversion Range'!$A$2:$A$35,0))-(('Legend Attributes'!T3-1)/19)*(INDEX('Conversion Range'!$D$2:$D$35,MATCH(T$1,'Conversion Range'!$A$2:$A$35,0))-INDEX('Conversion Range'!$C$2:$C$35,MATCH(T$1,'Conversion Range'!$A$2:$A$35,0))),INDEX('Conversion Range'!$C$2:$C$35,MATCH(T$1,'Conversion Range'!$A$2:$A$35,0))+(('Legend Attributes'!T3-1)/19)*(INDEX('Conversion Range'!$D$2:$D$35,MATCH(T$1,'Conversion Range'!$A$2:$A$35,0))-INDEX('Conversion Range'!$C$2:$C$35,MATCH(T$1,'Conversion Range'!$A$2:$A$35,0)))),3))</f>
        <v>40.841999999999999</v>
      </c>
      <c r="U3" s="15">
        <f>IF('Legend Attributes'!U3=0,0,ROUND(IF(INDEX('Conversion Range'!$E$2:$E$35,MATCH(U$1,'Conversion Range'!$A$2:$A$35,0))=1,INDEX('Conversion Range'!$D$2:$D$35,MATCH(U$1,'Conversion Range'!$A$2:$A$35,0))-(('Legend Attributes'!U3-1)/19)*(INDEX('Conversion Range'!$D$2:$D$35,MATCH(U$1,'Conversion Range'!$A$2:$A$35,0))-INDEX('Conversion Range'!$C$2:$C$35,MATCH(U$1,'Conversion Range'!$A$2:$A$35,0))),INDEX('Conversion Range'!$C$2:$C$35,MATCH(U$1,'Conversion Range'!$A$2:$A$35,0))+(('Legend Attributes'!U3-1)/19)*(INDEX('Conversion Range'!$D$2:$D$35,MATCH(U$1,'Conversion Range'!$A$2:$A$35,0))-INDEX('Conversion Range'!$C$2:$C$35,MATCH(U$1,'Conversion Range'!$A$2:$A$35,0)))),3))</f>
        <v>3.0369999999999999</v>
      </c>
      <c r="V3" s="15">
        <f>IF('Legend Attributes'!V3=0,0,ROUND(IF(INDEX('Conversion Range'!$E$2:$E$35,MATCH(V$1,'Conversion Range'!$A$2:$A$35,0))=1,INDEX('Conversion Range'!$D$2:$D$35,MATCH(V$1,'Conversion Range'!$A$2:$A$35,0))-(('Legend Attributes'!V3-1)/19)*(INDEX('Conversion Range'!$D$2:$D$35,MATCH(V$1,'Conversion Range'!$A$2:$A$35,0))-INDEX('Conversion Range'!$C$2:$C$35,MATCH(V$1,'Conversion Range'!$A$2:$A$35,0))),INDEX('Conversion Range'!$C$2:$C$35,MATCH(V$1,'Conversion Range'!$A$2:$A$35,0))+(('Legend Attributes'!V3-1)/19)*(INDEX('Conversion Range'!$D$2:$D$35,MATCH(V$1,'Conversion Range'!$A$2:$A$35,0))-INDEX('Conversion Range'!$C$2:$C$35,MATCH(V$1,'Conversion Range'!$A$2:$A$35,0)))),3))</f>
        <v>56.052999999999997</v>
      </c>
      <c r="W3" s="15">
        <f>IF('Legend Attributes'!W3=0,0,ROUND(IF(INDEX('Conversion Range'!$E$2:$E$35,MATCH(W$1,'Conversion Range'!$A$2:$A$35,0))=1,INDEX('Conversion Range'!$D$2:$D$35,MATCH(W$1,'Conversion Range'!$A$2:$A$35,0))-(('Legend Attributes'!W3-1)/19)*(INDEX('Conversion Range'!$D$2:$D$35,MATCH(W$1,'Conversion Range'!$A$2:$A$35,0))-INDEX('Conversion Range'!$C$2:$C$35,MATCH(W$1,'Conversion Range'!$A$2:$A$35,0))),INDEX('Conversion Range'!$C$2:$C$35,MATCH(W$1,'Conversion Range'!$A$2:$A$35,0))+(('Legend Attributes'!W3-1)/19)*(INDEX('Conversion Range'!$D$2:$D$35,MATCH(W$1,'Conversion Range'!$A$2:$A$35,0))-INDEX('Conversion Range'!$C$2:$C$35,MATCH(W$1,'Conversion Range'!$A$2:$A$35,0)))),3))</f>
        <v>0.34200000000000003</v>
      </c>
      <c r="X3" s="15">
        <f>IF('Legend Attributes'!X3=0,0,ROUND(IF(INDEX('Conversion Range'!$E$2:$E$35,MATCH(X$1,'Conversion Range'!$A$2:$A$35,0))=1,INDEX('Conversion Range'!$D$2:$D$35,MATCH(X$1,'Conversion Range'!$A$2:$A$35,0))-(('Legend Attributes'!X3-1)/19)*(INDEX('Conversion Range'!$D$2:$D$35,MATCH(X$1,'Conversion Range'!$A$2:$A$35,0))-INDEX('Conversion Range'!$C$2:$C$35,MATCH(X$1,'Conversion Range'!$A$2:$A$35,0))),INDEX('Conversion Range'!$C$2:$C$35,MATCH(X$1,'Conversion Range'!$A$2:$A$35,0))+(('Legend Attributes'!X3-1)/19)*(INDEX('Conversion Range'!$D$2:$D$35,MATCH(X$1,'Conversion Range'!$A$2:$A$35,0))-INDEX('Conversion Range'!$C$2:$C$35,MATCH(X$1,'Conversion Range'!$A$2:$A$35,0)))),3))</f>
        <v>0.63700000000000001</v>
      </c>
      <c r="Y3" s="15">
        <f>IF('Legend Attributes'!Y3=0,0,ROUND(IF(INDEX('Conversion Range'!$E$2:$E$35,MATCH(Y$1,'Conversion Range'!$A$2:$A$35,0))=1,INDEX('Conversion Range'!$D$2:$D$35,MATCH(Y$1,'Conversion Range'!$A$2:$A$35,0))-(('Legend Attributes'!Y3-1)/19)*(INDEX('Conversion Range'!$D$2:$D$35,MATCH(Y$1,'Conversion Range'!$A$2:$A$35,0))-INDEX('Conversion Range'!$C$2:$C$35,MATCH(Y$1,'Conversion Range'!$A$2:$A$35,0))),INDEX('Conversion Range'!$C$2:$C$35,MATCH(Y$1,'Conversion Range'!$A$2:$A$35,0))+(('Legend Attributes'!Y3-1)/19)*(INDEX('Conversion Range'!$D$2:$D$35,MATCH(Y$1,'Conversion Range'!$A$2:$A$35,0))-INDEX('Conversion Range'!$C$2:$C$35,MATCH(Y$1,'Conversion Range'!$A$2:$A$35,0)))),3))</f>
        <v>0.33200000000000002</v>
      </c>
      <c r="Z3" s="15">
        <f>IF('Legend Attributes'!Z3=0,0,ROUND(IF(INDEX('Conversion Range'!$E$2:$E$35,MATCH(Z$1,'Conversion Range'!$A$2:$A$35,0))=1,INDEX('Conversion Range'!$D$2:$D$35,MATCH(Z$1,'Conversion Range'!$A$2:$A$35,0))-(('Legend Attributes'!Z3-1)/19)*(INDEX('Conversion Range'!$D$2:$D$35,MATCH(Z$1,'Conversion Range'!$A$2:$A$35,0))-INDEX('Conversion Range'!$C$2:$C$35,MATCH(Z$1,'Conversion Range'!$A$2:$A$35,0))),INDEX('Conversion Range'!$C$2:$C$35,MATCH(Z$1,'Conversion Range'!$A$2:$A$35,0))+(('Legend Attributes'!Z3-1)/19)*(INDEX('Conversion Range'!$D$2:$D$35,MATCH(Z$1,'Conversion Range'!$A$2:$A$35,0))-INDEX('Conversion Range'!$C$2:$C$35,MATCH(Z$1,'Conversion Range'!$A$2:$A$35,0)))),3))</f>
        <v>10.079000000000001</v>
      </c>
      <c r="AA3" s="15">
        <f>IF('Legend Attributes'!AA3=0,0,ROUND(IF(INDEX('Conversion Range'!$E$2:$E$35,MATCH(AA$1,'Conversion Range'!$A$2:$A$35,0))=1,INDEX('Conversion Range'!$D$2:$D$35,MATCH(AA$1,'Conversion Range'!$A$2:$A$35,0))-(('Legend Attributes'!AA3-1)/19)*(INDEX('Conversion Range'!$D$2:$D$35,MATCH(AA$1,'Conversion Range'!$A$2:$A$35,0))-INDEX('Conversion Range'!$C$2:$C$35,MATCH(AA$1,'Conversion Range'!$A$2:$A$35,0))),INDEX('Conversion Range'!$C$2:$C$35,MATCH(AA$1,'Conversion Range'!$A$2:$A$35,0))+(('Legend Attributes'!AA3-1)/19)*(INDEX('Conversion Range'!$D$2:$D$35,MATCH(AA$1,'Conversion Range'!$A$2:$A$35,0))-INDEX('Conversion Range'!$C$2:$C$35,MATCH(AA$1,'Conversion Range'!$A$2:$A$35,0)))),3))</f>
        <v>0.23899999999999999</v>
      </c>
      <c r="AB3" s="15">
        <f>IF('Legend Attributes'!AB3=0,0,ROUND(IF(INDEX('Conversion Range'!$E$2:$E$35,MATCH(AB$1,'Conversion Range'!$A$2:$A$35,0))=1,INDEX('Conversion Range'!$D$2:$D$35,MATCH(AB$1,'Conversion Range'!$A$2:$A$35,0))-(('Legend Attributes'!AB3-1)/19)*(INDEX('Conversion Range'!$D$2:$D$35,MATCH(AB$1,'Conversion Range'!$A$2:$A$35,0))-INDEX('Conversion Range'!$C$2:$C$35,MATCH(AB$1,'Conversion Range'!$A$2:$A$35,0))),INDEX('Conversion Range'!$C$2:$C$35,MATCH(AB$1,'Conversion Range'!$A$2:$A$35,0))+(('Legend Attributes'!AB3-1)/19)*(INDEX('Conversion Range'!$D$2:$D$35,MATCH(AB$1,'Conversion Range'!$A$2:$A$35,0))-INDEX('Conversion Range'!$C$2:$C$35,MATCH(AB$1,'Conversion Range'!$A$2:$A$35,0)))),3))</f>
        <v>0.76100000000000001</v>
      </c>
      <c r="AC3" s="15">
        <f>IF('Legend Attributes'!AC3=0,0,ROUND(IF(INDEX('Conversion Range'!$E$2:$E$35,MATCH(AC$1,'Conversion Range'!$A$2:$A$35,0))=1,INDEX('Conversion Range'!$D$2:$D$35,MATCH(AC$1,'Conversion Range'!$A$2:$A$35,0))-(('Legend Attributes'!AC3-1)/19)*(INDEX('Conversion Range'!$D$2:$D$35,MATCH(AC$1,'Conversion Range'!$A$2:$A$35,0))-INDEX('Conversion Range'!$C$2:$C$35,MATCH(AC$1,'Conversion Range'!$A$2:$A$35,0))),INDEX('Conversion Range'!$C$2:$C$35,MATCH(AC$1,'Conversion Range'!$A$2:$A$35,0))+(('Legend Attributes'!AC3-1)/19)*(INDEX('Conversion Range'!$D$2:$D$35,MATCH(AC$1,'Conversion Range'!$A$2:$A$35,0))-INDEX('Conversion Range'!$C$2:$C$35,MATCH(AC$1,'Conversion Range'!$A$2:$A$35,0)))),3))</f>
        <v>0.38600000000000001</v>
      </c>
      <c r="AD3" s="15">
        <f>IF('Legend Attributes'!AD3=0,0,ROUND(IF(INDEX('Conversion Range'!$E$2:$E$35,MATCH(AD$1,'Conversion Range'!$A$2:$A$35,0))=1,INDEX('Conversion Range'!$D$2:$D$35,MATCH(AD$1,'Conversion Range'!$A$2:$A$35,0))-(('Legend Attributes'!AD3-1)/19)*(INDEX('Conversion Range'!$D$2:$D$35,MATCH(AD$1,'Conversion Range'!$A$2:$A$35,0))-INDEX('Conversion Range'!$C$2:$C$35,MATCH(AD$1,'Conversion Range'!$A$2:$A$35,0))),INDEX('Conversion Range'!$C$2:$C$35,MATCH(AD$1,'Conversion Range'!$A$2:$A$35,0))+(('Legend Attributes'!AD3-1)/19)*(INDEX('Conversion Range'!$D$2:$D$35,MATCH(AD$1,'Conversion Range'!$A$2:$A$35,0))-INDEX('Conversion Range'!$C$2:$C$35,MATCH(AD$1,'Conversion Range'!$A$2:$A$35,0)))),3))</f>
        <v>0</v>
      </c>
      <c r="AE3" s="15">
        <f>IF('Legend Attributes'!AE3=0,0,ROUND(IF(INDEX('Conversion Range'!$E$2:$E$35,MATCH(AE$1,'Conversion Range'!$A$2:$A$35,0))=1,INDEX('Conversion Range'!$D$2:$D$35,MATCH(AE$1,'Conversion Range'!$A$2:$A$35,0))-(('Legend Attributes'!AE3-1)/19)*(INDEX('Conversion Range'!$D$2:$D$35,MATCH(AE$1,'Conversion Range'!$A$2:$A$35,0))-INDEX('Conversion Range'!$C$2:$C$35,MATCH(AE$1,'Conversion Range'!$A$2:$A$35,0))),INDEX('Conversion Range'!$C$2:$C$35,MATCH(AE$1,'Conversion Range'!$A$2:$A$35,0))+(('Legend Attributes'!AE3-1)/19)*(INDEX('Conversion Range'!$D$2:$D$35,MATCH(AE$1,'Conversion Range'!$A$2:$A$35,0))-INDEX('Conversion Range'!$C$2:$C$35,MATCH(AE$1,'Conversion Range'!$A$2:$A$35,0)))),3))</f>
        <v>0</v>
      </c>
      <c r="AF3" s="15">
        <f>IF('Legend Attributes'!AF3=0,0,ROUND(IF(INDEX('Conversion Range'!$E$2:$E$35,MATCH(AF$1,'Conversion Range'!$A$2:$A$35,0))=1,INDEX('Conversion Range'!$D$2:$D$35,MATCH(AF$1,'Conversion Range'!$A$2:$A$35,0))-(('Legend Attributes'!AF3-1)/19)*(INDEX('Conversion Range'!$D$2:$D$35,MATCH(AF$1,'Conversion Range'!$A$2:$A$35,0))-INDEX('Conversion Range'!$C$2:$C$35,MATCH(AF$1,'Conversion Range'!$A$2:$A$35,0))),INDEX('Conversion Range'!$C$2:$C$35,MATCH(AF$1,'Conversion Range'!$A$2:$A$35,0))+(('Legend Attributes'!AF3-1)/19)*(INDEX('Conversion Range'!$D$2:$D$35,MATCH(AF$1,'Conversion Range'!$A$2:$A$35,0))-INDEX('Conversion Range'!$C$2:$C$35,MATCH(AF$1,'Conversion Range'!$A$2:$A$35,0)))),3))</f>
        <v>0</v>
      </c>
      <c r="AG3" s="15">
        <f>IF('Legend Attributes'!AG3=0,0,ROUND(IF(INDEX('Conversion Range'!$E$2:$E$35,MATCH(AG$1,'Conversion Range'!$A$2:$A$35,0))=1,INDEX('Conversion Range'!$D$2:$D$35,MATCH(AG$1,'Conversion Range'!$A$2:$A$35,0))-(('Legend Attributes'!AG3-1)/19)*(INDEX('Conversion Range'!$D$2:$D$35,MATCH(AG$1,'Conversion Range'!$A$2:$A$35,0))-INDEX('Conversion Range'!$C$2:$C$35,MATCH(AG$1,'Conversion Range'!$A$2:$A$35,0))),INDEX('Conversion Range'!$C$2:$C$35,MATCH(AG$1,'Conversion Range'!$A$2:$A$35,0))+(('Legend Attributes'!AG3-1)/19)*(INDEX('Conversion Range'!$D$2:$D$35,MATCH(AG$1,'Conversion Range'!$A$2:$A$35,0))-INDEX('Conversion Range'!$C$2:$C$35,MATCH(AG$1,'Conversion Range'!$A$2:$A$35,0)))),3))</f>
        <v>0.97399999999999998</v>
      </c>
      <c r="AH3" s="15">
        <f>IF('Legend Attributes'!AH3=0,0,ROUND(IF(INDEX('Conversion Range'!$E$2:$E$35,MATCH(AH$1,'Conversion Range'!$A$2:$A$35,0))=1,INDEX('Conversion Range'!$D$2:$D$35,MATCH(AH$1,'Conversion Range'!$A$2:$A$35,0))-(('Legend Attributes'!AH3-1)/19)*(INDEX('Conversion Range'!$D$2:$D$35,MATCH(AH$1,'Conversion Range'!$A$2:$A$35,0))-INDEX('Conversion Range'!$C$2:$C$35,MATCH(AH$1,'Conversion Range'!$A$2:$A$35,0))),INDEX('Conversion Range'!$C$2:$C$35,MATCH(AH$1,'Conversion Range'!$A$2:$A$35,0))+(('Legend Attributes'!AH3-1)/19)*(INDEX('Conversion Range'!$D$2:$D$35,MATCH(AH$1,'Conversion Range'!$A$2:$A$35,0))-INDEX('Conversion Range'!$C$2:$C$35,MATCH(AH$1,'Conversion Range'!$A$2:$A$35,0)))),3))</f>
        <v>0.35899999999999999</v>
      </c>
      <c r="AI3" s="15">
        <f>IF('Legend Attributes'!AI3=0,0,ROUND(IF(INDEX('Conversion Range'!$E$2:$E$35,MATCH(AI$1,'Conversion Range'!$A$2:$A$35,0))=1,INDEX('Conversion Range'!$D$2:$D$35,MATCH(AI$1,'Conversion Range'!$A$2:$A$35,0))-(('Legend Attributes'!AI3-1)/19)*(INDEX('Conversion Range'!$D$2:$D$35,MATCH(AI$1,'Conversion Range'!$A$2:$A$35,0))-INDEX('Conversion Range'!$C$2:$C$35,MATCH(AI$1,'Conversion Range'!$A$2:$A$35,0))),INDEX('Conversion Range'!$C$2:$C$35,MATCH(AI$1,'Conversion Range'!$A$2:$A$35,0))+(('Legend Attributes'!AI3-1)/19)*(INDEX('Conversion Range'!$D$2:$D$35,MATCH(AI$1,'Conversion Range'!$A$2:$A$35,0))-INDEX('Conversion Range'!$C$2:$C$35,MATCH(AI$1,'Conversion Range'!$A$2:$A$35,0)))),3))</f>
        <v>0.10100000000000001</v>
      </c>
      <c r="AJ3" s="15">
        <f>IF('Legend Attributes'!AJ3=0,0,ROUND(IF(INDEX('Conversion Range'!$E$2:$E$35,MATCH(AJ$1,'Conversion Range'!$A$2:$A$35,0))=1,INDEX('Conversion Range'!$D$2:$D$35,MATCH(AJ$1,'Conversion Range'!$A$2:$A$35,0))-(('Legend Attributes'!AJ3-1)/19)*(INDEX('Conversion Range'!$D$2:$D$35,MATCH(AJ$1,'Conversion Range'!$A$2:$A$35,0))-INDEX('Conversion Range'!$C$2:$C$35,MATCH(AJ$1,'Conversion Range'!$A$2:$A$35,0))),INDEX('Conversion Range'!$C$2:$C$35,MATCH(AJ$1,'Conversion Range'!$A$2:$A$35,0))+(('Legend Attributes'!AJ3-1)/19)*(INDEX('Conversion Range'!$D$2:$D$35,MATCH(AJ$1,'Conversion Range'!$A$2:$A$35,0))-INDEX('Conversion Range'!$C$2:$C$35,MATCH(AJ$1,'Conversion Range'!$A$2:$A$35,0)))),3))</f>
        <v>7.9160000000000004</v>
      </c>
    </row>
    <row r="4" spans="1:36" x14ac:dyDescent="0.35">
      <c r="A4" s="14" t="str">
        <f>'Legend Attributes'!A4</f>
        <v>Sergio Agüero</v>
      </c>
      <c r="B4" s="15" t="str">
        <f>'Legend Attributes'!B4</f>
        <v>ST</v>
      </c>
      <c r="C4" s="15">
        <f>IF('Legend Attributes'!C4=0,0,ROUND(IF(INDEX('Conversion Range'!$E$2:$E$35,MATCH(C$1,'Conversion Range'!$A$2:$A$35,0))=1,INDEX('Conversion Range'!$D$2:$D$35,MATCH(C$1,'Conversion Range'!$A$2:$A$35,0))-(('Legend Attributes'!C4-1)/19)*(INDEX('Conversion Range'!$D$2:$D$35,MATCH(C$1,'Conversion Range'!$A$2:$A$35,0))-INDEX('Conversion Range'!$C$2:$C$35,MATCH(C$1,'Conversion Range'!$A$2:$A$35,0))),INDEX('Conversion Range'!$C$2:$C$35,MATCH(C$1,'Conversion Range'!$A$2:$A$35,0))+(('Legend Attributes'!C4-1)/19)*(INDEX('Conversion Range'!$D$2:$D$35,MATCH(C$1,'Conversion Range'!$A$2:$A$35,0))-INDEX('Conversion Range'!$C$2:$C$35,MATCH(C$1,'Conversion Range'!$A$2:$A$35,0)))),3))</f>
        <v>0.67500000000000004</v>
      </c>
      <c r="D4" s="15">
        <f>IF('Legend Attributes'!D4=0,0,ROUND(IF(INDEX('Conversion Range'!$E$2:$E$35,MATCH(D$1,'Conversion Range'!$A$2:$A$35,0))=1,INDEX('Conversion Range'!$D$2:$D$35,MATCH(D$1,'Conversion Range'!$A$2:$A$35,0))-(('Legend Attributes'!D4-1)/19)*(INDEX('Conversion Range'!$D$2:$D$35,MATCH(D$1,'Conversion Range'!$A$2:$A$35,0))-INDEX('Conversion Range'!$C$2:$C$35,MATCH(D$1,'Conversion Range'!$A$2:$A$35,0))),INDEX('Conversion Range'!$C$2:$C$35,MATCH(D$1,'Conversion Range'!$A$2:$A$35,0))+(('Legend Attributes'!D4-1)/19)*(INDEX('Conversion Range'!$D$2:$D$35,MATCH(D$1,'Conversion Range'!$A$2:$A$35,0))-INDEX('Conversion Range'!$C$2:$C$35,MATCH(D$1,'Conversion Range'!$A$2:$A$35,0)))),3))</f>
        <v>0.59599999999999997</v>
      </c>
      <c r="E4" s="15">
        <f>IF('Legend Attributes'!E4=0,0,ROUND(IF(INDEX('Conversion Range'!$E$2:$E$35,MATCH(E$1,'Conversion Range'!$A$2:$A$35,0))=1,INDEX('Conversion Range'!$D$2:$D$35,MATCH(E$1,'Conversion Range'!$A$2:$A$35,0))-(('Legend Attributes'!E4-1)/19)*(INDEX('Conversion Range'!$D$2:$D$35,MATCH(E$1,'Conversion Range'!$A$2:$A$35,0))-INDEX('Conversion Range'!$C$2:$C$35,MATCH(E$1,'Conversion Range'!$A$2:$A$35,0))),INDEX('Conversion Range'!$C$2:$C$35,MATCH(E$1,'Conversion Range'!$A$2:$A$35,0))+(('Legend Attributes'!E4-1)/19)*(INDEX('Conversion Range'!$D$2:$D$35,MATCH(E$1,'Conversion Range'!$A$2:$A$35,0))-INDEX('Conversion Range'!$C$2:$C$35,MATCH(E$1,'Conversion Range'!$A$2:$A$35,0)))),3))</f>
        <v>0.23699999999999999</v>
      </c>
      <c r="F4" s="15">
        <f>IF('Legend Attributes'!F4=0,0,ROUND(IF(INDEX('Conversion Range'!$E$2:$E$35,MATCH(F$1,'Conversion Range'!$A$2:$A$35,0))=1,INDEX('Conversion Range'!$D$2:$D$35,MATCH(F$1,'Conversion Range'!$A$2:$A$35,0))-(('Legend Attributes'!F4-1)/19)*(INDEX('Conversion Range'!$D$2:$D$35,MATCH(F$1,'Conversion Range'!$A$2:$A$35,0))-INDEX('Conversion Range'!$C$2:$C$35,MATCH(F$1,'Conversion Range'!$A$2:$A$35,0))),INDEX('Conversion Range'!$C$2:$C$35,MATCH(F$1,'Conversion Range'!$A$2:$A$35,0))+(('Legend Attributes'!F4-1)/19)*(INDEX('Conversion Range'!$D$2:$D$35,MATCH(F$1,'Conversion Range'!$A$2:$A$35,0))-INDEX('Conversion Range'!$C$2:$C$35,MATCH(F$1,'Conversion Range'!$A$2:$A$35,0)))),3))</f>
        <v>2.9870000000000001</v>
      </c>
      <c r="G4" s="15">
        <f>IF('Legend Attributes'!G4=0,0,ROUND(IF(INDEX('Conversion Range'!$E$2:$E$35,MATCH(G$1,'Conversion Range'!$A$2:$A$35,0))=1,INDEX('Conversion Range'!$D$2:$D$35,MATCH(G$1,'Conversion Range'!$A$2:$A$35,0))-(('Legend Attributes'!G4-1)/19)*(INDEX('Conversion Range'!$D$2:$D$35,MATCH(G$1,'Conversion Range'!$A$2:$A$35,0))-INDEX('Conversion Range'!$C$2:$C$35,MATCH(G$1,'Conversion Range'!$A$2:$A$35,0))),INDEX('Conversion Range'!$C$2:$C$35,MATCH(G$1,'Conversion Range'!$A$2:$A$35,0))+(('Legend Attributes'!G4-1)/19)*(INDEX('Conversion Range'!$D$2:$D$35,MATCH(G$1,'Conversion Range'!$A$2:$A$35,0))-INDEX('Conversion Range'!$C$2:$C$35,MATCH(G$1,'Conversion Range'!$A$2:$A$35,0)))),3))</f>
        <v>1.716</v>
      </c>
      <c r="H4" s="15">
        <f>IF('Legend Attributes'!H4=0,0,ROUND(IF(INDEX('Conversion Range'!$E$2:$E$35,MATCH(H$1,'Conversion Range'!$A$2:$A$35,0))=1,INDEX('Conversion Range'!$D$2:$D$35,MATCH(H$1,'Conversion Range'!$A$2:$A$35,0))-(('Legend Attributes'!H4-1)/19)*(INDEX('Conversion Range'!$D$2:$D$35,MATCH(H$1,'Conversion Range'!$A$2:$A$35,0))-INDEX('Conversion Range'!$C$2:$C$35,MATCH(H$1,'Conversion Range'!$A$2:$A$35,0))),INDEX('Conversion Range'!$C$2:$C$35,MATCH(H$1,'Conversion Range'!$A$2:$A$35,0))+(('Legend Attributes'!H4-1)/19)*(INDEX('Conversion Range'!$D$2:$D$35,MATCH(H$1,'Conversion Range'!$A$2:$A$35,0))-INDEX('Conversion Range'!$C$2:$C$35,MATCH(H$1,'Conversion Range'!$A$2:$A$35,0)))),3))</f>
        <v>0.89500000000000002</v>
      </c>
      <c r="I4" s="15">
        <f>IF('Legend Attributes'!I4=0,0,ROUND(IF(INDEX('Conversion Range'!$E$2:$E$35,MATCH(I$1,'Conversion Range'!$A$2:$A$35,0))=1,INDEX('Conversion Range'!$D$2:$D$35,MATCH(I$1,'Conversion Range'!$A$2:$A$35,0))-(('Legend Attributes'!I4-1)/19)*(INDEX('Conversion Range'!$D$2:$D$35,MATCH(I$1,'Conversion Range'!$A$2:$A$35,0))-INDEX('Conversion Range'!$C$2:$C$35,MATCH(I$1,'Conversion Range'!$A$2:$A$35,0))),INDEX('Conversion Range'!$C$2:$C$35,MATCH(I$1,'Conversion Range'!$A$2:$A$35,0))+(('Legend Attributes'!I4-1)/19)*(INDEX('Conversion Range'!$D$2:$D$35,MATCH(I$1,'Conversion Range'!$A$2:$A$35,0))-INDEX('Conversion Range'!$C$2:$C$35,MATCH(I$1,'Conversion Range'!$A$2:$A$35,0)))),3))</f>
        <v>0.88900000000000001</v>
      </c>
      <c r="J4" s="15">
        <f>IF('Legend Attributes'!J4=0,0,ROUND(IF(INDEX('Conversion Range'!$E$2:$E$35,MATCH(J$1,'Conversion Range'!$A$2:$A$35,0))=1,INDEX('Conversion Range'!$D$2:$D$35,MATCH(J$1,'Conversion Range'!$A$2:$A$35,0))-(('Legend Attributes'!J4-1)/19)*(INDEX('Conversion Range'!$D$2:$D$35,MATCH(J$1,'Conversion Range'!$A$2:$A$35,0))-INDEX('Conversion Range'!$C$2:$C$35,MATCH(J$1,'Conversion Range'!$A$2:$A$35,0))),INDEX('Conversion Range'!$C$2:$C$35,MATCH(J$1,'Conversion Range'!$A$2:$A$35,0))+(('Legend Attributes'!J4-1)/19)*(INDEX('Conversion Range'!$D$2:$D$35,MATCH(J$1,'Conversion Range'!$A$2:$A$35,0))-INDEX('Conversion Range'!$C$2:$C$35,MATCH(J$1,'Conversion Range'!$A$2:$A$35,0)))),3))</f>
        <v>0.52600000000000002</v>
      </c>
      <c r="K4" s="15">
        <f>IF('Legend Attributes'!K4=0,0,ROUND(IF(INDEX('Conversion Range'!$E$2:$E$35,MATCH(K$1,'Conversion Range'!$A$2:$A$35,0))=1,INDEX('Conversion Range'!$D$2:$D$35,MATCH(K$1,'Conversion Range'!$A$2:$A$35,0))-(('Legend Attributes'!K4-1)/19)*(INDEX('Conversion Range'!$D$2:$D$35,MATCH(K$1,'Conversion Range'!$A$2:$A$35,0))-INDEX('Conversion Range'!$C$2:$C$35,MATCH(K$1,'Conversion Range'!$A$2:$A$35,0))),INDEX('Conversion Range'!$C$2:$C$35,MATCH(K$1,'Conversion Range'!$A$2:$A$35,0))+(('Legend Attributes'!K4-1)/19)*(INDEX('Conversion Range'!$D$2:$D$35,MATCH(K$1,'Conversion Range'!$A$2:$A$35,0))-INDEX('Conversion Range'!$C$2:$C$35,MATCH(K$1,'Conversion Range'!$A$2:$A$35,0)))),3))</f>
        <v>0.33200000000000002</v>
      </c>
      <c r="L4" s="15">
        <f>IF('Legend Attributes'!L4=0,0,ROUND(IF(INDEX('Conversion Range'!$E$2:$E$35,MATCH(L$1,'Conversion Range'!$A$2:$A$35,0))=1,INDEX('Conversion Range'!$D$2:$D$35,MATCH(L$1,'Conversion Range'!$A$2:$A$35,0))-(('Legend Attributes'!L4-1)/19)*(INDEX('Conversion Range'!$D$2:$D$35,MATCH(L$1,'Conversion Range'!$A$2:$A$35,0))-INDEX('Conversion Range'!$C$2:$C$35,MATCH(L$1,'Conversion Range'!$A$2:$A$35,0))),INDEX('Conversion Range'!$C$2:$C$35,MATCH(L$1,'Conversion Range'!$A$2:$A$35,0))+(('Legend Attributes'!L4-1)/19)*(INDEX('Conversion Range'!$D$2:$D$35,MATCH(L$1,'Conversion Range'!$A$2:$A$35,0))-INDEX('Conversion Range'!$C$2:$C$35,MATCH(L$1,'Conversion Range'!$A$2:$A$35,0)))),3))</f>
        <v>0</v>
      </c>
      <c r="M4" s="15">
        <f>IF('Legend Attributes'!M4=0,0,ROUND(IF(INDEX('Conversion Range'!$E$2:$E$35,MATCH(M$1,'Conversion Range'!$A$2:$A$35,0))=1,INDEX('Conversion Range'!$D$2:$D$35,MATCH(M$1,'Conversion Range'!$A$2:$A$35,0))-(('Legend Attributes'!M4-1)/19)*(INDEX('Conversion Range'!$D$2:$D$35,MATCH(M$1,'Conversion Range'!$A$2:$A$35,0))-INDEX('Conversion Range'!$C$2:$C$35,MATCH(M$1,'Conversion Range'!$A$2:$A$35,0))),INDEX('Conversion Range'!$C$2:$C$35,MATCH(M$1,'Conversion Range'!$A$2:$A$35,0))+(('Legend Attributes'!M4-1)/19)*(INDEX('Conversion Range'!$D$2:$D$35,MATCH(M$1,'Conversion Range'!$A$2:$A$35,0))-INDEX('Conversion Range'!$C$2:$C$35,MATCH(M$1,'Conversion Range'!$A$2:$A$35,0)))),3))</f>
        <v>0</v>
      </c>
      <c r="N4" s="15">
        <f>IF('Legend Attributes'!N4=0,0,ROUND(IF(INDEX('Conversion Range'!$E$2:$E$35,MATCH(N$1,'Conversion Range'!$A$2:$A$35,0))=1,INDEX('Conversion Range'!$D$2:$D$35,MATCH(N$1,'Conversion Range'!$A$2:$A$35,0))-(('Legend Attributes'!N4-1)/19)*(INDEX('Conversion Range'!$D$2:$D$35,MATCH(N$1,'Conversion Range'!$A$2:$A$35,0))-INDEX('Conversion Range'!$C$2:$C$35,MATCH(N$1,'Conversion Range'!$A$2:$A$35,0))),INDEX('Conversion Range'!$C$2:$C$35,MATCH(N$1,'Conversion Range'!$A$2:$A$35,0))+(('Legend Attributes'!N4-1)/19)*(INDEX('Conversion Range'!$D$2:$D$35,MATCH(N$1,'Conversion Range'!$A$2:$A$35,0))-INDEX('Conversion Range'!$C$2:$C$35,MATCH(N$1,'Conversion Range'!$A$2:$A$35,0)))),3))</f>
        <v>3.5790000000000002</v>
      </c>
      <c r="O4" s="15">
        <f>IF('Legend Attributes'!O4=0,0,ROUND(IF(INDEX('Conversion Range'!$E$2:$E$35,MATCH(O$1,'Conversion Range'!$A$2:$A$35,0))=1,INDEX('Conversion Range'!$D$2:$D$35,MATCH(O$1,'Conversion Range'!$A$2:$A$35,0))-(('Legend Attributes'!O4-1)/19)*(INDEX('Conversion Range'!$D$2:$D$35,MATCH(O$1,'Conversion Range'!$A$2:$A$35,0))-INDEX('Conversion Range'!$C$2:$C$35,MATCH(O$1,'Conversion Range'!$A$2:$A$35,0))),INDEX('Conversion Range'!$C$2:$C$35,MATCH(O$1,'Conversion Range'!$A$2:$A$35,0))+(('Legend Attributes'!O4-1)/19)*(INDEX('Conversion Range'!$D$2:$D$35,MATCH(O$1,'Conversion Range'!$A$2:$A$35,0))-INDEX('Conversion Range'!$C$2:$C$35,MATCH(O$1,'Conversion Range'!$A$2:$A$35,0)))),3))</f>
        <v>2.0579999999999998</v>
      </c>
      <c r="P4" s="15">
        <f>IF('Legend Attributes'!P4=0,0,ROUND(IF(INDEX('Conversion Range'!$E$2:$E$35,MATCH(P$1,'Conversion Range'!$A$2:$A$35,0))=1,INDEX('Conversion Range'!$D$2:$D$35,MATCH(P$1,'Conversion Range'!$A$2:$A$35,0))-(('Legend Attributes'!P4-1)/19)*(INDEX('Conversion Range'!$D$2:$D$35,MATCH(P$1,'Conversion Range'!$A$2:$A$35,0))-INDEX('Conversion Range'!$C$2:$C$35,MATCH(P$1,'Conversion Range'!$A$2:$A$35,0))),INDEX('Conversion Range'!$C$2:$C$35,MATCH(P$1,'Conversion Range'!$A$2:$A$35,0))+(('Legend Attributes'!P4-1)/19)*(INDEX('Conversion Range'!$D$2:$D$35,MATCH(P$1,'Conversion Range'!$A$2:$A$35,0))-INDEX('Conversion Range'!$C$2:$C$35,MATCH(P$1,'Conversion Range'!$A$2:$A$35,0)))),3))</f>
        <v>70.525999999999996</v>
      </c>
      <c r="Q4" s="15">
        <f>IF('Legend Attributes'!Q4=0,0,ROUND(IF(INDEX('Conversion Range'!$E$2:$E$35,MATCH(Q$1,'Conversion Range'!$A$2:$A$35,0))=1,INDEX('Conversion Range'!$D$2:$D$35,MATCH(Q$1,'Conversion Range'!$A$2:$A$35,0))-(('Legend Attributes'!Q4-1)/19)*(INDEX('Conversion Range'!$D$2:$D$35,MATCH(Q$1,'Conversion Range'!$A$2:$A$35,0))-INDEX('Conversion Range'!$C$2:$C$35,MATCH(Q$1,'Conversion Range'!$A$2:$A$35,0))),INDEX('Conversion Range'!$C$2:$C$35,MATCH(Q$1,'Conversion Range'!$A$2:$A$35,0))+(('Legend Attributes'!Q4-1)/19)*(INDEX('Conversion Range'!$D$2:$D$35,MATCH(Q$1,'Conversion Range'!$A$2:$A$35,0))-INDEX('Conversion Range'!$C$2:$C$35,MATCH(Q$1,'Conversion Range'!$A$2:$A$35,0)))),3))</f>
        <v>50.631999999999998</v>
      </c>
      <c r="R4" s="15">
        <f>IF('Legend Attributes'!R4=0,0,ROUND(IF(INDEX('Conversion Range'!$E$2:$E$35,MATCH(R$1,'Conversion Range'!$A$2:$A$35,0))=1,INDEX('Conversion Range'!$D$2:$D$35,MATCH(R$1,'Conversion Range'!$A$2:$A$35,0))-(('Legend Attributes'!R4-1)/19)*(INDEX('Conversion Range'!$D$2:$D$35,MATCH(R$1,'Conversion Range'!$A$2:$A$35,0))-INDEX('Conversion Range'!$C$2:$C$35,MATCH(R$1,'Conversion Range'!$A$2:$A$35,0))),INDEX('Conversion Range'!$C$2:$C$35,MATCH(R$1,'Conversion Range'!$A$2:$A$35,0))+(('Legend Attributes'!R4-1)/19)*(INDEX('Conversion Range'!$D$2:$D$35,MATCH(R$1,'Conversion Range'!$A$2:$A$35,0))-INDEX('Conversion Range'!$C$2:$C$35,MATCH(R$1,'Conversion Range'!$A$2:$A$35,0)))),3))</f>
        <v>78.158000000000001</v>
      </c>
      <c r="S4" s="15">
        <f>IF('Legend Attributes'!S4=0,0,ROUND(IF(INDEX('Conversion Range'!$E$2:$E$35,MATCH(S$1,'Conversion Range'!$A$2:$A$35,0))=1,INDEX('Conversion Range'!$D$2:$D$35,MATCH(S$1,'Conversion Range'!$A$2:$A$35,0))-(('Legend Attributes'!S4-1)/19)*(INDEX('Conversion Range'!$D$2:$D$35,MATCH(S$1,'Conversion Range'!$A$2:$A$35,0))-INDEX('Conversion Range'!$C$2:$C$35,MATCH(S$1,'Conversion Range'!$A$2:$A$35,0))),INDEX('Conversion Range'!$C$2:$C$35,MATCH(S$1,'Conversion Range'!$A$2:$A$35,0))+(('Legend Attributes'!S4-1)/19)*(INDEX('Conversion Range'!$D$2:$D$35,MATCH(S$1,'Conversion Range'!$A$2:$A$35,0))-INDEX('Conversion Range'!$C$2:$C$35,MATCH(S$1,'Conversion Range'!$A$2:$A$35,0)))),3))</f>
        <v>0.73199999999999998</v>
      </c>
      <c r="T4" s="15">
        <f>IF('Legend Attributes'!T4=0,0,ROUND(IF(INDEX('Conversion Range'!$E$2:$E$35,MATCH(T$1,'Conversion Range'!$A$2:$A$35,0))=1,INDEX('Conversion Range'!$D$2:$D$35,MATCH(T$1,'Conversion Range'!$A$2:$A$35,0))-(('Legend Attributes'!T4-1)/19)*(INDEX('Conversion Range'!$D$2:$D$35,MATCH(T$1,'Conversion Range'!$A$2:$A$35,0))-INDEX('Conversion Range'!$C$2:$C$35,MATCH(T$1,'Conversion Range'!$A$2:$A$35,0))),INDEX('Conversion Range'!$C$2:$C$35,MATCH(T$1,'Conversion Range'!$A$2:$A$35,0))+(('Legend Attributes'!T4-1)/19)*(INDEX('Conversion Range'!$D$2:$D$35,MATCH(T$1,'Conversion Range'!$A$2:$A$35,0))-INDEX('Conversion Range'!$C$2:$C$35,MATCH(T$1,'Conversion Range'!$A$2:$A$35,0)))),3))</f>
        <v>36.316000000000003</v>
      </c>
      <c r="U4" s="15">
        <f>IF('Legend Attributes'!U4=0,0,ROUND(IF(INDEX('Conversion Range'!$E$2:$E$35,MATCH(U$1,'Conversion Range'!$A$2:$A$35,0))=1,INDEX('Conversion Range'!$D$2:$D$35,MATCH(U$1,'Conversion Range'!$A$2:$A$35,0))-(('Legend Attributes'!U4-1)/19)*(INDEX('Conversion Range'!$D$2:$D$35,MATCH(U$1,'Conversion Range'!$A$2:$A$35,0))-INDEX('Conversion Range'!$C$2:$C$35,MATCH(U$1,'Conversion Range'!$A$2:$A$35,0))),INDEX('Conversion Range'!$C$2:$C$35,MATCH(U$1,'Conversion Range'!$A$2:$A$35,0))+(('Legend Attributes'!U4-1)/19)*(INDEX('Conversion Range'!$D$2:$D$35,MATCH(U$1,'Conversion Range'!$A$2:$A$35,0))-INDEX('Conversion Range'!$C$2:$C$35,MATCH(U$1,'Conversion Range'!$A$2:$A$35,0)))),3))</f>
        <v>1.9419999999999999</v>
      </c>
      <c r="V4" s="15">
        <f>IF('Legend Attributes'!V4=0,0,ROUND(IF(INDEX('Conversion Range'!$E$2:$E$35,MATCH(V$1,'Conversion Range'!$A$2:$A$35,0))=1,INDEX('Conversion Range'!$D$2:$D$35,MATCH(V$1,'Conversion Range'!$A$2:$A$35,0))-(('Legend Attributes'!V4-1)/19)*(INDEX('Conversion Range'!$D$2:$D$35,MATCH(V$1,'Conversion Range'!$A$2:$A$35,0))-INDEX('Conversion Range'!$C$2:$C$35,MATCH(V$1,'Conversion Range'!$A$2:$A$35,0))),INDEX('Conversion Range'!$C$2:$C$35,MATCH(V$1,'Conversion Range'!$A$2:$A$35,0))+(('Legend Attributes'!V4-1)/19)*(INDEX('Conversion Range'!$D$2:$D$35,MATCH(V$1,'Conversion Range'!$A$2:$A$35,0))-INDEX('Conversion Range'!$C$2:$C$35,MATCH(V$1,'Conversion Range'!$A$2:$A$35,0)))),3))</f>
        <v>48.947000000000003</v>
      </c>
      <c r="W4" s="15">
        <f>IF('Legend Attributes'!W4=0,0,ROUND(IF(INDEX('Conversion Range'!$E$2:$E$35,MATCH(W$1,'Conversion Range'!$A$2:$A$35,0))=1,INDEX('Conversion Range'!$D$2:$D$35,MATCH(W$1,'Conversion Range'!$A$2:$A$35,0))-(('Legend Attributes'!W4-1)/19)*(INDEX('Conversion Range'!$D$2:$D$35,MATCH(W$1,'Conversion Range'!$A$2:$A$35,0))-INDEX('Conversion Range'!$C$2:$C$35,MATCH(W$1,'Conversion Range'!$A$2:$A$35,0))),INDEX('Conversion Range'!$C$2:$C$35,MATCH(W$1,'Conversion Range'!$A$2:$A$35,0))+(('Legend Attributes'!W4-1)/19)*(INDEX('Conversion Range'!$D$2:$D$35,MATCH(W$1,'Conversion Range'!$A$2:$A$35,0))-INDEX('Conversion Range'!$C$2:$C$35,MATCH(W$1,'Conversion Range'!$A$2:$A$35,0)))),3))</f>
        <v>0.184</v>
      </c>
      <c r="X4" s="15">
        <f>IF('Legend Attributes'!X4=0,0,ROUND(IF(INDEX('Conversion Range'!$E$2:$E$35,MATCH(X$1,'Conversion Range'!$A$2:$A$35,0))=1,INDEX('Conversion Range'!$D$2:$D$35,MATCH(X$1,'Conversion Range'!$A$2:$A$35,0))-(('Legend Attributes'!X4-1)/19)*(INDEX('Conversion Range'!$D$2:$D$35,MATCH(X$1,'Conversion Range'!$A$2:$A$35,0))-INDEX('Conversion Range'!$C$2:$C$35,MATCH(X$1,'Conversion Range'!$A$2:$A$35,0))),INDEX('Conversion Range'!$C$2:$C$35,MATCH(X$1,'Conversion Range'!$A$2:$A$35,0))+(('Legend Attributes'!X4-1)/19)*(INDEX('Conversion Range'!$D$2:$D$35,MATCH(X$1,'Conversion Range'!$A$2:$A$35,0))-INDEX('Conversion Range'!$C$2:$C$35,MATCH(X$1,'Conversion Range'!$A$2:$A$35,0)))),3))</f>
        <v>0.40500000000000003</v>
      </c>
      <c r="Y4" s="15">
        <f>IF('Legend Attributes'!Y4=0,0,ROUND(IF(INDEX('Conversion Range'!$E$2:$E$35,MATCH(Y$1,'Conversion Range'!$A$2:$A$35,0))=1,INDEX('Conversion Range'!$D$2:$D$35,MATCH(Y$1,'Conversion Range'!$A$2:$A$35,0))-(('Legend Attributes'!Y4-1)/19)*(INDEX('Conversion Range'!$D$2:$D$35,MATCH(Y$1,'Conversion Range'!$A$2:$A$35,0))-INDEX('Conversion Range'!$C$2:$C$35,MATCH(Y$1,'Conversion Range'!$A$2:$A$35,0))),INDEX('Conversion Range'!$C$2:$C$35,MATCH(Y$1,'Conversion Range'!$A$2:$A$35,0))+(('Legend Attributes'!Y4-1)/19)*(INDEX('Conversion Range'!$D$2:$D$35,MATCH(Y$1,'Conversion Range'!$A$2:$A$35,0))-INDEX('Conversion Range'!$C$2:$C$35,MATCH(Y$1,'Conversion Range'!$A$2:$A$35,0)))),3))</f>
        <v>0.189</v>
      </c>
      <c r="Z4" s="15">
        <f>IF('Legend Attributes'!Z4=0,0,ROUND(IF(INDEX('Conversion Range'!$E$2:$E$35,MATCH(Z$1,'Conversion Range'!$A$2:$A$35,0))=1,INDEX('Conversion Range'!$D$2:$D$35,MATCH(Z$1,'Conversion Range'!$A$2:$A$35,0))-(('Legend Attributes'!Z4-1)/19)*(INDEX('Conversion Range'!$D$2:$D$35,MATCH(Z$1,'Conversion Range'!$A$2:$A$35,0))-INDEX('Conversion Range'!$C$2:$C$35,MATCH(Z$1,'Conversion Range'!$A$2:$A$35,0))),INDEX('Conversion Range'!$C$2:$C$35,MATCH(Z$1,'Conversion Range'!$A$2:$A$35,0))+(('Legend Attributes'!Z4-1)/19)*(INDEX('Conversion Range'!$D$2:$D$35,MATCH(Z$1,'Conversion Range'!$A$2:$A$35,0))-INDEX('Conversion Range'!$C$2:$C$35,MATCH(Z$1,'Conversion Range'!$A$2:$A$35,0)))),3))</f>
        <v>8.1050000000000004</v>
      </c>
      <c r="AA4" s="15">
        <f>IF('Legend Attributes'!AA4=0,0,ROUND(IF(INDEX('Conversion Range'!$E$2:$E$35,MATCH(AA$1,'Conversion Range'!$A$2:$A$35,0))=1,INDEX('Conversion Range'!$D$2:$D$35,MATCH(AA$1,'Conversion Range'!$A$2:$A$35,0))-(('Legend Attributes'!AA4-1)/19)*(INDEX('Conversion Range'!$D$2:$D$35,MATCH(AA$1,'Conversion Range'!$A$2:$A$35,0))-INDEX('Conversion Range'!$C$2:$C$35,MATCH(AA$1,'Conversion Range'!$A$2:$A$35,0))),INDEX('Conversion Range'!$C$2:$C$35,MATCH(AA$1,'Conversion Range'!$A$2:$A$35,0))+(('Legend Attributes'!AA4-1)/19)*(INDEX('Conversion Range'!$D$2:$D$35,MATCH(AA$1,'Conversion Range'!$A$2:$A$35,0))-INDEX('Conversion Range'!$C$2:$C$35,MATCH(AA$1,'Conversion Range'!$A$2:$A$35,0)))),3))</f>
        <v>0.27600000000000002</v>
      </c>
      <c r="AB4" s="15">
        <f>IF('Legend Attributes'!AB4=0,0,ROUND(IF(INDEX('Conversion Range'!$E$2:$E$35,MATCH(AB$1,'Conversion Range'!$A$2:$A$35,0))=1,INDEX('Conversion Range'!$D$2:$D$35,MATCH(AB$1,'Conversion Range'!$A$2:$A$35,0))-(('Legend Attributes'!AB4-1)/19)*(INDEX('Conversion Range'!$D$2:$D$35,MATCH(AB$1,'Conversion Range'!$A$2:$A$35,0))-INDEX('Conversion Range'!$C$2:$C$35,MATCH(AB$1,'Conversion Range'!$A$2:$A$35,0))),INDEX('Conversion Range'!$C$2:$C$35,MATCH(AB$1,'Conversion Range'!$A$2:$A$35,0))+(('Legend Attributes'!AB4-1)/19)*(INDEX('Conversion Range'!$D$2:$D$35,MATCH(AB$1,'Conversion Range'!$A$2:$A$35,0))-INDEX('Conversion Range'!$C$2:$C$35,MATCH(AB$1,'Conversion Range'!$A$2:$A$35,0)))),3))</f>
        <v>0.66600000000000004</v>
      </c>
      <c r="AC4" s="15">
        <f>IF('Legend Attributes'!AC4=0,0,ROUND(IF(INDEX('Conversion Range'!$E$2:$E$35,MATCH(AC$1,'Conversion Range'!$A$2:$A$35,0))=1,INDEX('Conversion Range'!$D$2:$D$35,MATCH(AC$1,'Conversion Range'!$A$2:$A$35,0))-(('Legend Attributes'!AC4-1)/19)*(INDEX('Conversion Range'!$D$2:$D$35,MATCH(AC$1,'Conversion Range'!$A$2:$A$35,0))-INDEX('Conversion Range'!$C$2:$C$35,MATCH(AC$1,'Conversion Range'!$A$2:$A$35,0))),INDEX('Conversion Range'!$C$2:$C$35,MATCH(AC$1,'Conversion Range'!$A$2:$A$35,0))+(('Legend Attributes'!AC4-1)/19)*(INDEX('Conversion Range'!$D$2:$D$35,MATCH(AC$1,'Conversion Range'!$A$2:$A$35,0))-INDEX('Conversion Range'!$C$2:$C$35,MATCH(AC$1,'Conversion Range'!$A$2:$A$35,0)))),3))</f>
        <v>0.27600000000000002</v>
      </c>
      <c r="AD4" s="15">
        <f>IF('Legend Attributes'!AD4=0,0,ROUND(IF(INDEX('Conversion Range'!$E$2:$E$35,MATCH(AD$1,'Conversion Range'!$A$2:$A$35,0))=1,INDEX('Conversion Range'!$D$2:$D$35,MATCH(AD$1,'Conversion Range'!$A$2:$A$35,0))-(('Legend Attributes'!AD4-1)/19)*(INDEX('Conversion Range'!$D$2:$D$35,MATCH(AD$1,'Conversion Range'!$A$2:$A$35,0))-INDEX('Conversion Range'!$C$2:$C$35,MATCH(AD$1,'Conversion Range'!$A$2:$A$35,0))),INDEX('Conversion Range'!$C$2:$C$35,MATCH(AD$1,'Conversion Range'!$A$2:$A$35,0))+(('Legend Attributes'!AD4-1)/19)*(INDEX('Conversion Range'!$D$2:$D$35,MATCH(AD$1,'Conversion Range'!$A$2:$A$35,0))-INDEX('Conversion Range'!$C$2:$C$35,MATCH(AD$1,'Conversion Range'!$A$2:$A$35,0)))),3))</f>
        <v>0</v>
      </c>
      <c r="AE4" s="15">
        <f>IF('Legend Attributes'!AE4=0,0,ROUND(IF(INDEX('Conversion Range'!$E$2:$E$35,MATCH(AE$1,'Conversion Range'!$A$2:$A$35,0))=1,INDEX('Conversion Range'!$D$2:$D$35,MATCH(AE$1,'Conversion Range'!$A$2:$A$35,0))-(('Legend Attributes'!AE4-1)/19)*(INDEX('Conversion Range'!$D$2:$D$35,MATCH(AE$1,'Conversion Range'!$A$2:$A$35,0))-INDEX('Conversion Range'!$C$2:$C$35,MATCH(AE$1,'Conversion Range'!$A$2:$A$35,0))),INDEX('Conversion Range'!$C$2:$C$35,MATCH(AE$1,'Conversion Range'!$A$2:$A$35,0))+(('Legend Attributes'!AE4-1)/19)*(INDEX('Conversion Range'!$D$2:$D$35,MATCH(AE$1,'Conversion Range'!$A$2:$A$35,0))-INDEX('Conversion Range'!$C$2:$C$35,MATCH(AE$1,'Conversion Range'!$A$2:$A$35,0)))),3))</f>
        <v>0</v>
      </c>
      <c r="AF4" s="15">
        <f>IF('Legend Attributes'!AF4=0,0,ROUND(IF(INDEX('Conversion Range'!$E$2:$E$35,MATCH(AF$1,'Conversion Range'!$A$2:$A$35,0))=1,INDEX('Conversion Range'!$D$2:$D$35,MATCH(AF$1,'Conversion Range'!$A$2:$A$35,0))-(('Legend Attributes'!AF4-1)/19)*(INDEX('Conversion Range'!$D$2:$D$35,MATCH(AF$1,'Conversion Range'!$A$2:$A$35,0))-INDEX('Conversion Range'!$C$2:$C$35,MATCH(AF$1,'Conversion Range'!$A$2:$A$35,0))),INDEX('Conversion Range'!$C$2:$C$35,MATCH(AF$1,'Conversion Range'!$A$2:$A$35,0))+(('Legend Attributes'!AF4-1)/19)*(INDEX('Conversion Range'!$D$2:$D$35,MATCH(AF$1,'Conversion Range'!$A$2:$A$35,0))-INDEX('Conversion Range'!$C$2:$C$35,MATCH(AF$1,'Conversion Range'!$A$2:$A$35,0)))),3))</f>
        <v>0</v>
      </c>
      <c r="AG4" s="15">
        <f>IF('Legend Attributes'!AG4=0,0,ROUND(IF(INDEX('Conversion Range'!$E$2:$E$35,MATCH(AG$1,'Conversion Range'!$A$2:$A$35,0))=1,INDEX('Conversion Range'!$D$2:$D$35,MATCH(AG$1,'Conversion Range'!$A$2:$A$35,0))-(('Legend Attributes'!AG4-1)/19)*(INDEX('Conversion Range'!$D$2:$D$35,MATCH(AG$1,'Conversion Range'!$A$2:$A$35,0))-INDEX('Conversion Range'!$C$2:$C$35,MATCH(AG$1,'Conversion Range'!$A$2:$A$35,0))),INDEX('Conversion Range'!$C$2:$C$35,MATCH(AG$1,'Conversion Range'!$A$2:$A$35,0))+(('Legend Attributes'!AG4-1)/19)*(INDEX('Conversion Range'!$D$2:$D$35,MATCH(AG$1,'Conversion Range'!$A$2:$A$35,0))-INDEX('Conversion Range'!$C$2:$C$35,MATCH(AG$1,'Conversion Range'!$A$2:$A$35,0)))),3))</f>
        <v>1.1319999999999999</v>
      </c>
      <c r="AH4" s="15">
        <f>IF('Legend Attributes'!AH4=0,0,ROUND(IF(INDEX('Conversion Range'!$E$2:$E$35,MATCH(AH$1,'Conversion Range'!$A$2:$A$35,0))=1,INDEX('Conversion Range'!$D$2:$D$35,MATCH(AH$1,'Conversion Range'!$A$2:$A$35,0))-(('Legend Attributes'!AH4-1)/19)*(INDEX('Conversion Range'!$D$2:$D$35,MATCH(AH$1,'Conversion Range'!$A$2:$A$35,0))-INDEX('Conversion Range'!$C$2:$C$35,MATCH(AH$1,'Conversion Range'!$A$2:$A$35,0))),INDEX('Conversion Range'!$C$2:$C$35,MATCH(AH$1,'Conversion Range'!$A$2:$A$35,0))+(('Legend Attributes'!AH4-1)/19)*(INDEX('Conversion Range'!$D$2:$D$35,MATCH(AH$1,'Conversion Range'!$A$2:$A$35,0))-INDEX('Conversion Range'!$C$2:$C$35,MATCH(AH$1,'Conversion Range'!$A$2:$A$35,0)))),3))</f>
        <v>0.13300000000000001</v>
      </c>
      <c r="AI4" s="15">
        <f>IF('Legend Attributes'!AI4=0,0,ROUND(IF(INDEX('Conversion Range'!$E$2:$E$35,MATCH(AI$1,'Conversion Range'!$A$2:$A$35,0))=1,INDEX('Conversion Range'!$D$2:$D$35,MATCH(AI$1,'Conversion Range'!$A$2:$A$35,0))-(('Legend Attributes'!AI4-1)/19)*(INDEX('Conversion Range'!$D$2:$D$35,MATCH(AI$1,'Conversion Range'!$A$2:$A$35,0))-INDEX('Conversion Range'!$C$2:$C$35,MATCH(AI$1,'Conversion Range'!$A$2:$A$35,0))),INDEX('Conversion Range'!$C$2:$C$35,MATCH(AI$1,'Conversion Range'!$A$2:$A$35,0))+(('Legend Attributes'!AI4-1)/19)*(INDEX('Conversion Range'!$D$2:$D$35,MATCH(AI$1,'Conversion Range'!$A$2:$A$35,0))-INDEX('Conversion Range'!$C$2:$C$35,MATCH(AI$1,'Conversion Range'!$A$2:$A$35,0)))),3))</f>
        <v>1.9E-2</v>
      </c>
      <c r="AJ4" s="15">
        <f>IF('Legend Attributes'!AJ4=0,0,ROUND(IF(INDEX('Conversion Range'!$E$2:$E$35,MATCH(AJ$1,'Conversion Range'!$A$2:$A$35,0))=1,INDEX('Conversion Range'!$D$2:$D$35,MATCH(AJ$1,'Conversion Range'!$A$2:$A$35,0))-(('Legend Attributes'!AJ4-1)/19)*(INDEX('Conversion Range'!$D$2:$D$35,MATCH(AJ$1,'Conversion Range'!$A$2:$A$35,0))-INDEX('Conversion Range'!$C$2:$C$35,MATCH(AJ$1,'Conversion Range'!$A$2:$A$35,0))),INDEX('Conversion Range'!$C$2:$C$35,MATCH(AJ$1,'Conversion Range'!$A$2:$A$35,0))+(('Legend Attributes'!AJ4-1)/19)*(INDEX('Conversion Range'!$D$2:$D$35,MATCH(AJ$1,'Conversion Range'!$A$2:$A$35,0))-INDEX('Conversion Range'!$C$2:$C$35,MATCH(AJ$1,'Conversion Range'!$A$2:$A$35,0)))),3))</f>
        <v>7.9160000000000004</v>
      </c>
    </row>
    <row r="5" spans="1:36" x14ac:dyDescent="0.35">
      <c r="A5" s="14" t="str">
        <f>'Legend Attributes'!A5</f>
        <v>Andrés Iniesta</v>
      </c>
      <c r="B5" s="15" t="str">
        <f>'Legend Attributes'!B5</f>
        <v>CM</v>
      </c>
      <c r="C5" s="15">
        <f>IF('Legend Attributes'!C5=0,0,ROUND(IF(INDEX('Conversion Range'!$E$2:$E$35,MATCH(C$1,'Conversion Range'!$A$2:$A$35,0))=1,INDEX('Conversion Range'!$D$2:$D$35,MATCH(C$1,'Conversion Range'!$A$2:$A$35,0))-(('Legend Attributes'!C5-1)/19)*(INDEX('Conversion Range'!$D$2:$D$35,MATCH(C$1,'Conversion Range'!$A$2:$A$35,0))-INDEX('Conversion Range'!$C$2:$C$35,MATCH(C$1,'Conversion Range'!$A$2:$A$35,0))),INDEX('Conversion Range'!$C$2:$C$35,MATCH(C$1,'Conversion Range'!$A$2:$A$35,0))+(('Legend Attributes'!C5-1)/19)*(INDEX('Conversion Range'!$D$2:$D$35,MATCH(C$1,'Conversion Range'!$A$2:$A$35,0))-INDEX('Conversion Range'!$C$2:$C$35,MATCH(C$1,'Conversion Range'!$A$2:$A$35,0)))),3))</f>
        <v>0.28199999999999997</v>
      </c>
      <c r="D5" s="15">
        <f>IF('Legend Attributes'!D5=0,0,ROUND(IF(INDEX('Conversion Range'!$E$2:$E$35,MATCH(D$1,'Conversion Range'!$A$2:$A$35,0))=1,INDEX('Conversion Range'!$D$2:$D$35,MATCH(D$1,'Conversion Range'!$A$2:$A$35,0))-(('Legend Attributes'!D5-1)/19)*(INDEX('Conversion Range'!$D$2:$D$35,MATCH(D$1,'Conversion Range'!$A$2:$A$35,0))-INDEX('Conversion Range'!$C$2:$C$35,MATCH(D$1,'Conversion Range'!$A$2:$A$35,0))),INDEX('Conversion Range'!$C$2:$C$35,MATCH(D$1,'Conversion Range'!$A$2:$A$35,0))+(('Legend Attributes'!D5-1)/19)*(INDEX('Conversion Range'!$D$2:$D$35,MATCH(D$1,'Conversion Range'!$A$2:$A$35,0))-INDEX('Conversion Range'!$C$2:$C$35,MATCH(D$1,'Conversion Range'!$A$2:$A$35,0)))),3))</f>
        <v>0.251</v>
      </c>
      <c r="E5" s="15">
        <f>IF('Legend Attributes'!E5=0,0,ROUND(IF(INDEX('Conversion Range'!$E$2:$E$35,MATCH(E$1,'Conversion Range'!$A$2:$A$35,0))=1,INDEX('Conversion Range'!$D$2:$D$35,MATCH(E$1,'Conversion Range'!$A$2:$A$35,0))-(('Legend Attributes'!E5-1)/19)*(INDEX('Conversion Range'!$D$2:$D$35,MATCH(E$1,'Conversion Range'!$A$2:$A$35,0))-INDEX('Conversion Range'!$C$2:$C$35,MATCH(E$1,'Conversion Range'!$A$2:$A$35,0))),INDEX('Conversion Range'!$C$2:$C$35,MATCH(E$1,'Conversion Range'!$A$2:$A$35,0))+(('Legend Attributes'!E5-1)/19)*(INDEX('Conversion Range'!$D$2:$D$35,MATCH(E$1,'Conversion Range'!$A$2:$A$35,0))-INDEX('Conversion Range'!$C$2:$C$35,MATCH(E$1,'Conversion Range'!$A$2:$A$35,0)))),3))</f>
        <v>0.436</v>
      </c>
      <c r="F5" s="15">
        <f>IF('Legend Attributes'!F5=0,0,ROUND(IF(INDEX('Conversion Range'!$E$2:$E$35,MATCH(F$1,'Conversion Range'!$A$2:$A$35,0))=1,INDEX('Conversion Range'!$D$2:$D$35,MATCH(F$1,'Conversion Range'!$A$2:$A$35,0))-(('Legend Attributes'!F5-1)/19)*(INDEX('Conversion Range'!$D$2:$D$35,MATCH(F$1,'Conversion Range'!$A$2:$A$35,0))-INDEX('Conversion Range'!$C$2:$C$35,MATCH(F$1,'Conversion Range'!$A$2:$A$35,0))),INDEX('Conversion Range'!$C$2:$C$35,MATCH(F$1,'Conversion Range'!$A$2:$A$35,0))+(('Legend Attributes'!F5-1)/19)*(INDEX('Conversion Range'!$D$2:$D$35,MATCH(F$1,'Conversion Range'!$A$2:$A$35,0))-INDEX('Conversion Range'!$C$2:$C$35,MATCH(F$1,'Conversion Range'!$A$2:$A$35,0)))),3))</f>
        <v>0.96099999999999997</v>
      </c>
      <c r="G5" s="15">
        <f>IF('Legend Attributes'!G5=0,0,ROUND(IF(INDEX('Conversion Range'!$E$2:$E$35,MATCH(G$1,'Conversion Range'!$A$2:$A$35,0))=1,INDEX('Conversion Range'!$D$2:$D$35,MATCH(G$1,'Conversion Range'!$A$2:$A$35,0))-(('Legend Attributes'!G5-1)/19)*(INDEX('Conversion Range'!$D$2:$D$35,MATCH(G$1,'Conversion Range'!$A$2:$A$35,0))-INDEX('Conversion Range'!$C$2:$C$35,MATCH(G$1,'Conversion Range'!$A$2:$A$35,0))),INDEX('Conversion Range'!$C$2:$C$35,MATCH(G$1,'Conversion Range'!$A$2:$A$35,0))+(('Legend Attributes'!G5-1)/19)*(INDEX('Conversion Range'!$D$2:$D$35,MATCH(G$1,'Conversion Range'!$A$2:$A$35,0))-INDEX('Conversion Range'!$C$2:$C$35,MATCH(G$1,'Conversion Range'!$A$2:$A$35,0)))),3))</f>
        <v>0.54700000000000004</v>
      </c>
      <c r="H5" s="15">
        <f>IF('Legend Attributes'!H5=0,0,ROUND(IF(INDEX('Conversion Range'!$E$2:$E$35,MATCH(H$1,'Conversion Range'!$A$2:$A$35,0))=1,INDEX('Conversion Range'!$D$2:$D$35,MATCH(H$1,'Conversion Range'!$A$2:$A$35,0))-(('Legend Attributes'!H5-1)/19)*(INDEX('Conversion Range'!$D$2:$D$35,MATCH(H$1,'Conversion Range'!$A$2:$A$35,0))-INDEX('Conversion Range'!$C$2:$C$35,MATCH(H$1,'Conversion Range'!$A$2:$A$35,0))),INDEX('Conversion Range'!$C$2:$C$35,MATCH(H$1,'Conversion Range'!$A$2:$A$35,0))+(('Legend Attributes'!H5-1)/19)*(INDEX('Conversion Range'!$D$2:$D$35,MATCH(H$1,'Conversion Range'!$A$2:$A$35,0))-INDEX('Conversion Range'!$C$2:$C$35,MATCH(H$1,'Conversion Range'!$A$2:$A$35,0)))),3))</f>
        <v>0.26300000000000001</v>
      </c>
      <c r="I5" s="15">
        <f>IF('Legend Attributes'!I5=0,0,ROUND(IF(INDEX('Conversion Range'!$E$2:$E$35,MATCH(I$1,'Conversion Range'!$A$2:$A$35,0))=1,INDEX('Conversion Range'!$D$2:$D$35,MATCH(I$1,'Conversion Range'!$A$2:$A$35,0))-(('Legend Attributes'!I5-1)/19)*(INDEX('Conversion Range'!$D$2:$D$35,MATCH(I$1,'Conversion Range'!$A$2:$A$35,0))-INDEX('Conversion Range'!$C$2:$C$35,MATCH(I$1,'Conversion Range'!$A$2:$A$35,0))),INDEX('Conversion Range'!$C$2:$C$35,MATCH(I$1,'Conversion Range'!$A$2:$A$35,0))+(('Legend Attributes'!I5-1)/19)*(INDEX('Conversion Range'!$D$2:$D$35,MATCH(I$1,'Conversion Range'!$A$2:$A$35,0))-INDEX('Conversion Range'!$C$2:$C$35,MATCH(I$1,'Conversion Range'!$A$2:$A$35,0)))),3))</f>
        <v>2.2050000000000001</v>
      </c>
      <c r="J5" s="15">
        <f>IF('Legend Attributes'!J5=0,0,ROUND(IF(INDEX('Conversion Range'!$E$2:$E$35,MATCH(J$1,'Conversion Range'!$A$2:$A$35,0))=1,INDEX('Conversion Range'!$D$2:$D$35,MATCH(J$1,'Conversion Range'!$A$2:$A$35,0))-(('Legend Attributes'!J5-1)/19)*(INDEX('Conversion Range'!$D$2:$D$35,MATCH(J$1,'Conversion Range'!$A$2:$A$35,0))-INDEX('Conversion Range'!$C$2:$C$35,MATCH(J$1,'Conversion Range'!$A$2:$A$35,0))),INDEX('Conversion Range'!$C$2:$C$35,MATCH(J$1,'Conversion Range'!$A$2:$A$35,0))+(('Legend Attributes'!J5-1)/19)*(INDEX('Conversion Range'!$D$2:$D$35,MATCH(J$1,'Conversion Range'!$A$2:$A$35,0))-INDEX('Conversion Range'!$C$2:$C$35,MATCH(J$1,'Conversion Range'!$A$2:$A$35,0)))),3))</f>
        <v>1.3420000000000001</v>
      </c>
      <c r="K5" s="15">
        <f>IF('Legend Attributes'!K5=0,0,ROUND(IF(INDEX('Conversion Range'!$E$2:$E$35,MATCH(K$1,'Conversion Range'!$A$2:$A$35,0))=1,INDEX('Conversion Range'!$D$2:$D$35,MATCH(K$1,'Conversion Range'!$A$2:$A$35,0))-(('Legend Attributes'!K5-1)/19)*(INDEX('Conversion Range'!$D$2:$D$35,MATCH(K$1,'Conversion Range'!$A$2:$A$35,0))-INDEX('Conversion Range'!$C$2:$C$35,MATCH(K$1,'Conversion Range'!$A$2:$A$35,0))),INDEX('Conversion Range'!$C$2:$C$35,MATCH(K$1,'Conversion Range'!$A$2:$A$35,0))+(('Legend Attributes'!K5-1)/19)*(INDEX('Conversion Range'!$D$2:$D$35,MATCH(K$1,'Conversion Range'!$A$2:$A$35,0))-INDEX('Conversion Range'!$C$2:$C$35,MATCH(K$1,'Conversion Range'!$A$2:$A$35,0)))),3))</f>
        <v>1.1419999999999999</v>
      </c>
      <c r="L5" s="15">
        <f>IF('Legend Attributes'!L5=0,0,ROUND(IF(INDEX('Conversion Range'!$E$2:$E$35,MATCH(L$1,'Conversion Range'!$A$2:$A$35,0))=1,INDEX('Conversion Range'!$D$2:$D$35,MATCH(L$1,'Conversion Range'!$A$2:$A$35,0))-(('Legend Attributes'!L5-1)/19)*(INDEX('Conversion Range'!$D$2:$D$35,MATCH(L$1,'Conversion Range'!$A$2:$A$35,0))-INDEX('Conversion Range'!$C$2:$C$35,MATCH(L$1,'Conversion Range'!$A$2:$A$35,0))),INDEX('Conversion Range'!$C$2:$C$35,MATCH(L$1,'Conversion Range'!$A$2:$A$35,0))+(('Legend Attributes'!L5-1)/19)*(INDEX('Conversion Range'!$D$2:$D$35,MATCH(L$1,'Conversion Range'!$A$2:$A$35,0))-INDEX('Conversion Range'!$C$2:$C$35,MATCH(L$1,'Conversion Range'!$A$2:$A$35,0)))),3))</f>
        <v>0.32600000000000001</v>
      </c>
      <c r="M5" s="15">
        <f>IF('Legend Attributes'!M5=0,0,ROUND(IF(INDEX('Conversion Range'!$E$2:$E$35,MATCH(M$1,'Conversion Range'!$A$2:$A$35,0))=1,INDEX('Conversion Range'!$D$2:$D$35,MATCH(M$1,'Conversion Range'!$A$2:$A$35,0))-(('Legend Attributes'!M5-1)/19)*(INDEX('Conversion Range'!$D$2:$D$35,MATCH(M$1,'Conversion Range'!$A$2:$A$35,0))-INDEX('Conversion Range'!$C$2:$C$35,MATCH(M$1,'Conversion Range'!$A$2:$A$35,0))),INDEX('Conversion Range'!$C$2:$C$35,MATCH(M$1,'Conversion Range'!$A$2:$A$35,0))+(('Legend Attributes'!M5-1)/19)*(INDEX('Conversion Range'!$D$2:$D$35,MATCH(M$1,'Conversion Range'!$A$2:$A$35,0))-INDEX('Conversion Range'!$C$2:$C$35,MATCH(M$1,'Conversion Range'!$A$2:$A$35,0)))),3))</f>
        <v>0.16800000000000001</v>
      </c>
      <c r="N5" s="15">
        <f>IF('Legend Attributes'!N5=0,0,ROUND(IF(INDEX('Conversion Range'!$E$2:$E$35,MATCH(N$1,'Conversion Range'!$A$2:$A$35,0))=1,INDEX('Conversion Range'!$D$2:$D$35,MATCH(N$1,'Conversion Range'!$A$2:$A$35,0))-(('Legend Attributes'!N5-1)/19)*(INDEX('Conversion Range'!$D$2:$D$35,MATCH(N$1,'Conversion Range'!$A$2:$A$35,0))-INDEX('Conversion Range'!$C$2:$C$35,MATCH(N$1,'Conversion Range'!$A$2:$A$35,0))),INDEX('Conversion Range'!$C$2:$C$35,MATCH(N$1,'Conversion Range'!$A$2:$A$35,0))+(('Legend Attributes'!N5-1)/19)*(INDEX('Conversion Range'!$D$2:$D$35,MATCH(N$1,'Conversion Range'!$A$2:$A$35,0))-INDEX('Conversion Range'!$C$2:$C$35,MATCH(N$1,'Conversion Range'!$A$2:$A$35,0)))),3))</f>
        <v>6.3419999999999996</v>
      </c>
      <c r="O5" s="15">
        <f>IF('Legend Attributes'!O5=0,0,ROUND(IF(INDEX('Conversion Range'!$E$2:$E$35,MATCH(O$1,'Conversion Range'!$A$2:$A$35,0))=1,INDEX('Conversion Range'!$D$2:$D$35,MATCH(O$1,'Conversion Range'!$A$2:$A$35,0))-(('Legend Attributes'!O5-1)/19)*(INDEX('Conversion Range'!$D$2:$D$35,MATCH(O$1,'Conversion Range'!$A$2:$A$35,0))-INDEX('Conversion Range'!$C$2:$C$35,MATCH(O$1,'Conversion Range'!$A$2:$A$35,0))),INDEX('Conversion Range'!$C$2:$C$35,MATCH(O$1,'Conversion Range'!$A$2:$A$35,0))+(('Legend Attributes'!O5-1)/19)*(INDEX('Conversion Range'!$D$2:$D$35,MATCH(O$1,'Conversion Range'!$A$2:$A$35,0))-INDEX('Conversion Range'!$C$2:$C$35,MATCH(O$1,'Conversion Range'!$A$2:$A$35,0)))),3))</f>
        <v>2.8740000000000001</v>
      </c>
      <c r="P5" s="15">
        <f>IF('Legend Attributes'!P5=0,0,ROUND(IF(INDEX('Conversion Range'!$E$2:$E$35,MATCH(P$1,'Conversion Range'!$A$2:$A$35,0))=1,INDEX('Conversion Range'!$D$2:$D$35,MATCH(P$1,'Conversion Range'!$A$2:$A$35,0))-(('Legend Attributes'!P5-1)/19)*(INDEX('Conversion Range'!$D$2:$D$35,MATCH(P$1,'Conversion Range'!$A$2:$A$35,0))-INDEX('Conversion Range'!$C$2:$C$35,MATCH(P$1,'Conversion Range'!$A$2:$A$35,0))),INDEX('Conversion Range'!$C$2:$C$35,MATCH(P$1,'Conversion Range'!$A$2:$A$35,0))+(('Legend Attributes'!P5-1)/19)*(INDEX('Conversion Range'!$D$2:$D$35,MATCH(P$1,'Conversion Range'!$A$2:$A$35,0))-INDEX('Conversion Range'!$C$2:$C$35,MATCH(P$1,'Conversion Range'!$A$2:$A$35,0)))),3))</f>
        <v>82.105000000000004</v>
      </c>
      <c r="Q5" s="15">
        <f>IF('Legend Attributes'!Q5=0,0,ROUND(IF(INDEX('Conversion Range'!$E$2:$E$35,MATCH(Q$1,'Conversion Range'!$A$2:$A$35,0))=1,INDEX('Conversion Range'!$D$2:$D$35,MATCH(Q$1,'Conversion Range'!$A$2:$A$35,0))-(('Legend Attributes'!Q5-1)/19)*(INDEX('Conversion Range'!$D$2:$D$35,MATCH(Q$1,'Conversion Range'!$A$2:$A$35,0))-INDEX('Conversion Range'!$C$2:$C$35,MATCH(Q$1,'Conversion Range'!$A$2:$A$35,0))),INDEX('Conversion Range'!$C$2:$C$35,MATCH(Q$1,'Conversion Range'!$A$2:$A$35,0))+(('Legend Attributes'!Q5-1)/19)*(INDEX('Conversion Range'!$D$2:$D$35,MATCH(Q$1,'Conversion Range'!$A$2:$A$35,0))-INDEX('Conversion Range'!$C$2:$C$35,MATCH(Q$1,'Conversion Range'!$A$2:$A$35,0)))),3))</f>
        <v>50.631999999999998</v>
      </c>
      <c r="R5" s="15">
        <f>IF('Legend Attributes'!R5=0,0,ROUND(IF(INDEX('Conversion Range'!$E$2:$E$35,MATCH(R$1,'Conversion Range'!$A$2:$A$35,0))=1,INDEX('Conversion Range'!$D$2:$D$35,MATCH(R$1,'Conversion Range'!$A$2:$A$35,0))-(('Legend Attributes'!R5-1)/19)*(INDEX('Conversion Range'!$D$2:$D$35,MATCH(R$1,'Conversion Range'!$A$2:$A$35,0))-INDEX('Conversion Range'!$C$2:$C$35,MATCH(R$1,'Conversion Range'!$A$2:$A$35,0))),INDEX('Conversion Range'!$C$2:$C$35,MATCH(R$1,'Conversion Range'!$A$2:$A$35,0))+(('Legend Attributes'!R5-1)/19)*(INDEX('Conversion Range'!$D$2:$D$35,MATCH(R$1,'Conversion Range'!$A$2:$A$35,0))-INDEX('Conversion Range'!$C$2:$C$35,MATCH(R$1,'Conversion Range'!$A$2:$A$35,0)))),3))</f>
        <v>95</v>
      </c>
      <c r="S5" s="15">
        <f>IF('Legend Attributes'!S5=0,0,ROUND(IF(INDEX('Conversion Range'!$E$2:$E$35,MATCH(S$1,'Conversion Range'!$A$2:$A$35,0))=1,INDEX('Conversion Range'!$D$2:$D$35,MATCH(S$1,'Conversion Range'!$A$2:$A$35,0))-(('Legend Attributes'!S5-1)/19)*(INDEX('Conversion Range'!$D$2:$D$35,MATCH(S$1,'Conversion Range'!$A$2:$A$35,0))-INDEX('Conversion Range'!$C$2:$C$35,MATCH(S$1,'Conversion Range'!$A$2:$A$35,0))),INDEX('Conversion Range'!$C$2:$C$35,MATCH(S$1,'Conversion Range'!$A$2:$A$35,0))+(('Legend Attributes'!S5-1)/19)*(INDEX('Conversion Range'!$D$2:$D$35,MATCH(S$1,'Conversion Range'!$A$2:$A$35,0))-INDEX('Conversion Range'!$C$2:$C$35,MATCH(S$1,'Conversion Range'!$A$2:$A$35,0)))),3))</f>
        <v>3.7530000000000001</v>
      </c>
      <c r="T5" s="15">
        <f>IF('Legend Attributes'!T5=0,0,ROUND(IF(INDEX('Conversion Range'!$E$2:$E$35,MATCH(T$1,'Conversion Range'!$A$2:$A$35,0))=1,INDEX('Conversion Range'!$D$2:$D$35,MATCH(T$1,'Conversion Range'!$A$2:$A$35,0))-(('Legend Attributes'!T5-1)/19)*(INDEX('Conversion Range'!$D$2:$D$35,MATCH(T$1,'Conversion Range'!$A$2:$A$35,0))-INDEX('Conversion Range'!$C$2:$C$35,MATCH(T$1,'Conversion Range'!$A$2:$A$35,0))),INDEX('Conversion Range'!$C$2:$C$35,MATCH(T$1,'Conversion Range'!$A$2:$A$35,0))+(('Legend Attributes'!T5-1)/19)*(INDEX('Conversion Range'!$D$2:$D$35,MATCH(T$1,'Conversion Range'!$A$2:$A$35,0))-INDEX('Conversion Range'!$C$2:$C$35,MATCH(T$1,'Conversion Range'!$A$2:$A$35,0)))),3))</f>
        <v>54.420999999999999</v>
      </c>
      <c r="U5" s="15">
        <f>IF('Legend Attributes'!U5=0,0,ROUND(IF(INDEX('Conversion Range'!$E$2:$E$35,MATCH(U$1,'Conversion Range'!$A$2:$A$35,0))=1,INDEX('Conversion Range'!$D$2:$D$35,MATCH(U$1,'Conversion Range'!$A$2:$A$35,0))-(('Legend Attributes'!U5-1)/19)*(INDEX('Conversion Range'!$D$2:$D$35,MATCH(U$1,'Conversion Range'!$A$2:$A$35,0))-INDEX('Conversion Range'!$C$2:$C$35,MATCH(U$1,'Conversion Range'!$A$2:$A$35,0))),INDEX('Conversion Range'!$C$2:$C$35,MATCH(U$1,'Conversion Range'!$A$2:$A$35,0))+(('Legend Attributes'!U5-1)/19)*(INDEX('Conversion Range'!$D$2:$D$35,MATCH(U$1,'Conversion Range'!$A$2:$A$35,0))-INDEX('Conversion Range'!$C$2:$C$35,MATCH(U$1,'Conversion Range'!$A$2:$A$35,0)))),3))</f>
        <v>0.84699999999999998</v>
      </c>
      <c r="V5" s="15">
        <f>IF('Legend Attributes'!V5=0,0,ROUND(IF(INDEX('Conversion Range'!$E$2:$E$35,MATCH(V$1,'Conversion Range'!$A$2:$A$35,0))=1,INDEX('Conversion Range'!$D$2:$D$35,MATCH(V$1,'Conversion Range'!$A$2:$A$35,0))-(('Legend Attributes'!V5-1)/19)*(INDEX('Conversion Range'!$D$2:$D$35,MATCH(V$1,'Conversion Range'!$A$2:$A$35,0))-INDEX('Conversion Range'!$C$2:$C$35,MATCH(V$1,'Conversion Range'!$A$2:$A$35,0))),INDEX('Conversion Range'!$C$2:$C$35,MATCH(V$1,'Conversion Range'!$A$2:$A$35,0))+(('Legend Attributes'!V5-1)/19)*(INDEX('Conversion Range'!$D$2:$D$35,MATCH(V$1,'Conversion Range'!$A$2:$A$35,0))-INDEX('Conversion Range'!$C$2:$C$35,MATCH(V$1,'Conversion Range'!$A$2:$A$35,0)))),3))</f>
        <v>41.841999999999999</v>
      </c>
      <c r="W5" s="15">
        <f>IF('Legend Attributes'!W5=0,0,ROUND(IF(INDEX('Conversion Range'!$E$2:$E$35,MATCH(W$1,'Conversion Range'!$A$2:$A$35,0))=1,INDEX('Conversion Range'!$D$2:$D$35,MATCH(W$1,'Conversion Range'!$A$2:$A$35,0))-(('Legend Attributes'!W5-1)/19)*(INDEX('Conversion Range'!$D$2:$D$35,MATCH(W$1,'Conversion Range'!$A$2:$A$35,0))-INDEX('Conversion Range'!$C$2:$C$35,MATCH(W$1,'Conversion Range'!$A$2:$A$35,0))),INDEX('Conversion Range'!$C$2:$C$35,MATCH(W$1,'Conversion Range'!$A$2:$A$35,0))+(('Legend Attributes'!W5-1)/19)*(INDEX('Conversion Range'!$D$2:$D$35,MATCH(W$1,'Conversion Range'!$A$2:$A$35,0))-INDEX('Conversion Range'!$C$2:$C$35,MATCH(W$1,'Conversion Range'!$A$2:$A$35,0)))),3))</f>
        <v>0.39500000000000002</v>
      </c>
      <c r="X5" s="15">
        <f>IF('Legend Attributes'!X5=0,0,ROUND(IF(INDEX('Conversion Range'!$E$2:$E$35,MATCH(X$1,'Conversion Range'!$A$2:$A$35,0))=1,INDEX('Conversion Range'!$D$2:$D$35,MATCH(X$1,'Conversion Range'!$A$2:$A$35,0))-(('Legend Attributes'!X5-1)/19)*(INDEX('Conversion Range'!$D$2:$D$35,MATCH(X$1,'Conversion Range'!$A$2:$A$35,0))-INDEX('Conversion Range'!$C$2:$C$35,MATCH(X$1,'Conversion Range'!$A$2:$A$35,0))),INDEX('Conversion Range'!$C$2:$C$35,MATCH(X$1,'Conversion Range'!$A$2:$A$35,0))+(('Legend Attributes'!X5-1)/19)*(INDEX('Conversion Range'!$D$2:$D$35,MATCH(X$1,'Conversion Range'!$A$2:$A$35,0))-INDEX('Conversion Range'!$C$2:$C$35,MATCH(X$1,'Conversion Range'!$A$2:$A$35,0)))),3))</f>
        <v>0.81100000000000005</v>
      </c>
      <c r="Y5" s="15">
        <f>IF('Legend Attributes'!Y5=0,0,ROUND(IF(INDEX('Conversion Range'!$E$2:$E$35,MATCH(Y$1,'Conversion Range'!$A$2:$A$35,0))=1,INDEX('Conversion Range'!$D$2:$D$35,MATCH(Y$1,'Conversion Range'!$A$2:$A$35,0))-(('Legend Attributes'!Y5-1)/19)*(INDEX('Conversion Range'!$D$2:$D$35,MATCH(Y$1,'Conversion Range'!$A$2:$A$35,0))-INDEX('Conversion Range'!$C$2:$C$35,MATCH(Y$1,'Conversion Range'!$A$2:$A$35,0))),INDEX('Conversion Range'!$C$2:$C$35,MATCH(Y$1,'Conversion Range'!$A$2:$A$35,0))+(('Legend Attributes'!Y5-1)/19)*(INDEX('Conversion Range'!$D$2:$D$35,MATCH(Y$1,'Conversion Range'!$A$2:$A$35,0))-INDEX('Conversion Range'!$C$2:$C$35,MATCH(Y$1,'Conversion Range'!$A$2:$A$35,0)))),3))</f>
        <v>0.23699999999999999</v>
      </c>
      <c r="Z5" s="15">
        <f>IF('Legend Attributes'!Z5=0,0,ROUND(IF(INDEX('Conversion Range'!$E$2:$E$35,MATCH(Z$1,'Conversion Range'!$A$2:$A$35,0))=1,INDEX('Conversion Range'!$D$2:$D$35,MATCH(Z$1,'Conversion Range'!$A$2:$A$35,0))-(('Legend Attributes'!Z5-1)/19)*(INDEX('Conversion Range'!$D$2:$D$35,MATCH(Z$1,'Conversion Range'!$A$2:$A$35,0))-INDEX('Conversion Range'!$C$2:$C$35,MATCH(Z$1,'Conversion Range'!$A$2:$A$35,0))),INDEX('Conversion Range'!$C$2:$C$35,MATCH(Z$1,'Conversion Range'!$A$2:$A$35,0))+(('Legend Attributes'!Z5-1)/19)*(INDEX('Conversion Range'!$D$2:$D$35,MATCH(Z$1,'Conversion Range'!$A$2:$A$35,0))-INDEX('Conversion Range'!$C$2:$C$35,MATCH(Z$1,'Conversion Range'!$A$2:$A$35,0)))),3))</f>
        <v>4.8159999999999998</v>
      </c>
      <c r="AA5" s="15">
        <f>IF('Legend Attributes'!AA5=0,0,ROUND(IF(INDEX('Conversion Range'!$E$2:$E$35,MATCH(AA$1,'Conversion Range'!$A$2:$A$35,0))=1,INDEX('Conversion Range'!$D$2:$D$35,MATCH(AA$1,'Conversion Range'!$A$2:$A$35,0))-(('Legend Attributes'!AA5-1)/19)*(INDEX('Conversion Range'!$D$2:$D$35,MATCH(AA$1,'Conversion Range'!$A$2:$A$35,0))-INDEX('Conversion Range'!$C$2:$C$35,MATCH(AA$1,'Conversion Range'!$A$2:$A$35,0))),INDEX('Conversion Range'!$C$2:$C$35,MATCH(AA$1,'Conversion Range'!$A$2:$A$35,0))+(('Legend Attributes'!AA5-1)/19)*(INDEX('Conversion Range'!$D$2:$D$35,MATCH(AA$1,'Conversion Range'!$A$2:$A$35,0))-INDEX('Conversion Range'!$C$2:$C$35,MATCH(AA$1,'Conversion Range'!$A$2:$A$35,0)))),3))</f>
        <v>7.3999999999999996E-2</v>
      </c>
      <c r="AB5" s="15">
        <f>IF('Legend Attributes'!AB5=0,0,ROUND(IF(INDEX('Conversion Range'!$E$2:$E$35,MATCH(AB$1,'Conversion Range'!$A$2:$A$35,0))=1,INDEX('Conversion Range'!$D$2:$D$35,MATCH(AB$1,'Conversion Range'!$A$2:$A$35,0))-(('Legend Attributes'!AB5-1)/19)*(INDEX('Conversion Range'!$D$2:$D$35,MATCH(AB$1,'Conversion Range'!$A$2:$A$35,0))-INDEX('Conversion Range'!$C$2:$C$35,MATCH(AB$1,'Conversion Range'!$A$2:$A$35,0))),INDEX('Conversion Range'!$C$2:$C$35,MATCH(AB$1,'Conversion Range'!$A$2:$A$35,0))+(('Legend Attributes'!AB5-1)/19)*(INDEX('Conversion Range'!$D$2:$D$35,MATCH(AB$1,'Conversion Range'!$A$2:$A$35,0))-INDEX('Conversion Range'!$C$2:$C$35,MATCH(AB$1,'Conversion Range'!$A$2:$A$35,0)))),3))</f>
        <v>0.85499999999999998</v>
      </c>
      <c r="AC5" s="15">
        <f>IF('Legend Attributes'!AC5=0,0,ROUND(IF(INDEX('Conversion Range'!$E$2:$E$35,MATCH(AC$1,'Conversion Range'!$A$2:$A$35,0))=1,INDEX('Conversion Range'!$D$2:$D$35,MATCH(AC$1,'Conversion Range'!$A$2:$A$35,0))-(('Legend Attributes'!AC5-1)/19)*(INDEX('Conversion Range'!$D$2:$D$35,MATCH(AC$1,'Conversion Range'!$A$2:$A$35,0))-INDEX('Conversion Range'!$C$2:$C$35,MATCH(AC$1,'Conversion Range'!$A$2:$A$35,0))),INDEX('Conversion Range'!$C$2:$C$35,MATCH(AC$1,'Conversion Range'!$A$2:$A$35,0))+(('Legend Attributes'!AC5-1)/19)*(INDEX('Conversion Range'!$D$2:$D$35,MATCH(AC$1,'Conversion Range'!$A$2:$A$35,0))-INDEX('Conversion Range'!$C$2:$C$35,MATCH(AC$1,'Conversion Range'!$A$2:$A$35,0)))),3))</f>
        <v>0.495</v>
      </c>
      <c r="AD5" s="15">
        <f>IF('Legend Attributes'!AD5=0,0,ROUND(IF(INDEX('Conversion Range'!$E$2:$E$35,MATCH(AD$1,'Conversion Range'!$A$2:$A$35,0))=1,INDEX('Conversion Range'!$D$2:$D$35,MATCH(AD$1,'Conversion Range'!$A$2:$A$35,0))-(('Legend Attributes'!AD5-1)/19)*(INDEX('Conversion Range'!$D$2:$D$35,MATCH(AD$1,'Conversion Range'!$A$2:$A$35,0))-INDEX('Conversion Range'!$C$2:$C$35,MATCH(AD$1,'Conversion Range'!$A$2:$A$35,0))),INDEX('Conversion Range'!$C$2:$C$35,MATCH(AD$1,'Conversion Range'!$A$2:$A$35,0))+(('Legend Attributes'!AD5-1)/19)*(INDEX('Conversion Range'!$D$2:$D$35,MATCH(AD$1,'Conversion Range'!$A$2:$A$35,0))-INDEX('Conversion Range'!$C$2:$C$35,MATCH(AD$1,'Conversion Range'!$A$2:$A$35,0)))),3))</f>
        <v>0</v>
      </c>
      <c r="AE5" s="15">
        <f>IF('Legend Attributes'!AE5=0,0,ROUND(IF(INDEX('Conversion Range'!$E$2:$E$35,MATCH(AE$1,'Conversion Range'!$A$2:$A$35,0))=1,INDEX('Conversion Range'!$D$2:$D$35,MATCH(AE$1,'Conversion Range'!$A$2:$A$35,0))-(('Legend Attributes'!AE5-1)/19)*(INDEX('Conversion Range'!$D$2:$D$35,MATCH(AE$1,'Conversion Range'!$A$2:$A$35,0))-INDEX('Conversion Range'!$C$2:$C$35,MATCH(AE$1,'Conversion Range'!$A$2:$A$35,0))),INDEX('Conversion Range'!$C$2:$C$35,MATCH(AE$1,'Conversion Range'!$A$2:$A$35,0))+(('Legend Attributes'!AE5-1)/19)*(INDEX('Conversion Range'!$D$2:$D$35,MATCH(AE$1,'Conversion Range'!$A$2:$A$35,0))-INDEX('Conversion Range'!$C$2:$C$35,MATCH(AE$1,'Conversion Range'!$A$2:$A$35,0)))),3))</f>
        <v>0</v>
      </c>
      <c r="AF5" s="15">
        <f>IF('Legend Attributes'!AF5=0,0,ROUND(IF(INDEX('Conversion Range'!$E$2:$E$35,MATCH(AF$1,'Conversion Range'!$A$2:$A$35,0))=1,INDEX('Conversion Range'!$D$2:$D$35,MATCH(AF$1,'Conversion Range'!$A$2:$A$35,0))-(('Legend Attributes'!AF5-1)/19)*(INDEX('Conversion Range'!$D$2:$D$35,MATCH(AF$1,'Conversion Range'!$A$2:$A$35,0))-INDEX('Conversion Range'!$C$2:$C$35,MATCH(AF$1,'Conversion Range'!$A$2:$A$35,0))),INDEX('Conversion Range'!$C$2:$C$35,MATCH(AF$1,'Conversion Range'!$A$2:$A$35,0))+(('Legend Attributes'!AF5-1)/19)*(INDEX('Conversion Range'!$D$2:$D$35,MATCH(AF$1,'Conversion Range'!$A$2:$A$35,0))-INDEX('Conversion Range'!$C$2:$C$35,MATCH(AF$1,'Conversion Range'!$A$2:$A$35,0)))),3))</f>
        <v>0</v>
      </c>
      <c r="AG5" s="15">
        <f>IF('Legend Attributes'!AG5=0,0,ROUND(IF(INDEX('Conversion Range'!$E$2:$E$35,MATCH(AG$1,'Conversion Range'!$A$2:$A$35,0))=1,INDEX('Conversion Range'!$D$2:$D$35,MATCH(AG$1,'Conversion Range'!$A$2:$A$35,0))-(('Legend Attributes'!AG5-1)/19)*(INDEX('Conversion Range'!$D$2:$D$35,MATCH(AG$1,'Conversion Range'!$A$2:$A$35,0))-INDEX('Conversion Range'!$C$2:$C$35,MATCH(AG$1,'Conversion Range'!$A$2:$A$35,0))),INDEX('Conversion Range'!$C$2:$C$35,MATCH(AG$1,'Conversion Range'!$A$2:$A$35,0))+(('Legend Attributes'!AG5-1)/19)*(INDEX('Conversion Range'!$D$2:$D$35,MATCH(AG$1,'Conversion Range'!$A$2:$A$35,0))-INDEX('Conversion Range'!$C$2:$C$35,MATCH(AG$1,'Conversion Range'!$A$2:$A$35,0)))),3))</f>
        <v>0.73699999999999999</v>
      </c>
      <c r="AH5" s="15">
        <f>IF('Legend Attributes'!AH5=0,0,ROUND(IF(INDEX('Conversion Range'!$E$2:$E$35,MATCH(AH$1,'Conversion Range'!$A$2:$A$35,0))=1,INDEX('Conversion Range'!$D$2:$D$35,MATCH(AH$1,'Conversion Range'!$A$2:$A$35,0))-(('Legend Attributes'!AH5-1)/19)*(INDEX('Conversion Range'!$D$2:$D$35,MATCH(AH$1,'Conversion Range'!$A$2:$A$35,0))-INDEX('Conversion Range'!$C$2:$C$35,MATCH(AH$1,'Conversion Range'!$A$2:$A$35,0))),INDEX('Conversion Range'!$C$2:$C$35,MATCH(AH$1,'Conversion Range'!$A$2:$A$35,0))+(('Legend Attributes'!AH5-1)/19)*(INDEX('Conversion Range'!$D$2:$D$35,MATCH(AH$1,'Conversion Range'!$A$2:$A$35,0))-INDEX('Conversion Range'!$C$2:$C$35,MATCH(AH$1,'Conversion Range'!$A$2:$A$35,0)))),3))</f>
        <v>0.13300000000000001</v>
      </c>
      <c r="AI5" s="15">
        <f>IF('Legend Attributes'!AI5=0,0,ROUND(IF(INDEX('Conversion Range'!$E$2:$E$35,MATCH(AI$1,'Conversion Range'!$A$2:$A$35,0))=1,INDEX('Conversion Range'!$D$2:$D$35,MATCH(AI$1,'Conversion Range'!$A$2:$A$35,0))-(('Legend Attributes'!AI5-1)/19)*(INDEX('Conversion Range'!$D$2:$D$35,MATCH(AI$1,'Conversion Range'!$A$2:$A$35,0))-INDEX('Conversion Range'!$C$2:$C$35,MATCH(AI$1,'Conversion Range'!$A$2:$A$35,0))),INDEX('Conversion Range'!$C$2:$C$35,MATCH(AI$1,'Conversion Range'!$A$2:$A$35,0))+(('Legend Attributes'!AI5-1)/19)*(INDEX('Conversion Range'!$D$2:$D$35,MATCH(AI$1,'Conversion Range'!$A$2:$A$35,0))-INDEX('Conversion Range'!$C$2:$C$35,MATCH(AI$1,'Conversion Range'!$A$2:$A$35,0)))),3))</f>
        <v>1.9E-2</v>
      </c>
      <c r="AJ5" s="15">
        <f>IF('Legend Attributes'!AJ5=0,0,ROUND(IF(INDEX('Conversion Range'!$E$2:$E$35,MATCH(AJ$1,'Conversion Range'!$A$2:$A$35,0))=1,INDEX('Conversion Range'!$D$2:$D$35,MATCH(AJ$1,'Conversion Range'!$A$2:$A$35,0))-(('Legend Attributes'!AJ5-1)/19)*(INDEX('Conversion Range'!$D$2:$D$35,MATCH(AJ$1,'Conversion Range'!$A$2:$A$35,0))-INDEX('Conversion Range'!$C$2:$C$35,MATCH(AJ$1,'Conversion Range'!$A$2:$A$35,0))),INDEX('Conversion Range'!$C$2:$C$35,MATCH(AJ$1,'Conversion Range'!$A$2:$A$35,0))+(('Legend Attributes'!AJ5-1)/19)*(INDEX('Conversion Range'!$D$2:$D$35,MATCH(AJ$1,'Conversion Range'!$A$2:$A$35,0))-INDEX('Conversion Range'!$C$2:$C$35,MATCH(AJ$1,'Conversion Range'!$A$2:$A$35,0)))),3))</f>
        <v>8.0109999999999992</v>
      </c>
    </row>
    <row r="6" spans="1:36" x14ac:dyDescent="0.35">
      <c r="A6" s="14" t="str">
        <f>'Legend Attributes'!A6</f>
        <v>Arjen Robben</v>
      </c>
      <c r="B6" s="15" t="str">
        <f>'Legend Attributes'!B6</f>
        <v>W</v>
      </c>
      <c r="C6" s="15">
        <f>IF('Legend Attributes'!C6=0,0,ROUND(IF(INDEX('Conversion Range'!$E$2:$E$35,MATCH(C$1,'Conversion Range'!$A$2:$A$35,0))=1,INDEX('Conversion Range'!$D$2:$D$35,MATCH(C$1,'Conversion Range'!$A$2:$A$35,0))-(('Legend Attributes'!C6-1)/19)*(INDEX('Conversion Range'!$D$2:$D$35,MATCH(C$1,'Conversion Range'!$A$2:$A$35,0))-INDEX('Conversion Range'!$C$2:$C$35,MATCH(C$1,'Conversion Range'!$A$2:$A$35,0))),INDEX('Conversion Range'!$C$2:$C$35,MATCH(C$1,'Conversion Range'!$A$2:$A$35,0))+(('Legend Attributes'!C6-1)/19)*(INDEX('Conversion Range'!$D$2:$D$35,MATCH(C$1,'Conversion Range'!$A$2:$A$35,0))-INDEX('Conversion Range'!$C$2:$C$35,MATCH(C$1,'Conversion Range'!$A$2:$A$35,0)))),3))</f>
        <v>0.67500000000000004</v>
      </c>
      <c r="D6" s="15">
        <f>IF('Legend Attributes'!D6=0,0,ROUND(IF(INDEX('Conversion Range'!$E$2:$E$35,MATCH(D$1,'Conversion Range'!$A$2:$A$35,0))=1,INDEX('Conversion Range'!$D$2:$D$35,MATCH(D$1,'Conversion Range'!$A$2:$A$35,0))-(('Legend Attributes'!D6-1)/19)*(INDEX('Conversion Range'!$D$2:$D$35,MATCH(D$1,'Conversion Range'!$A$2:$A$35,0))-INDEX('Conversion Range'!$C$2:$C$35,MATCH(D$1,'Conversion Range'!$A$2:$A$35,0))),INDEX('Conversion Range'!$C$2:$C$35,MATCH(D$1,'Conversion Range'!$A$2:$A$35,0))+(('Legend Attributes'!D6-1)/19)*(INDEX('Conversion Range'!$D$2:$D$35,MATCH(D$1,'Conversion Range'!$A$2:$A$35,0))-INDEX('Conversion Range'!$C$2:$C$35,MATCH(D$1,'Conversion Range'!$A$2:$A$35,0)))),3))</f>
        <v>0.59599999999999997</v>
      </c>
      <c r="E6" s="15">
        <f>IF('Legend Attributes'!E6=0,0,ROUND(IF(INDEX('Conversion Range'!$E$2:$E$35,MATCH(E$1,'Conversion Range'!$A$2:$A$35,0))=1,INDEX('Conversion Range'!$D$2:$D$35,MATCH(E$1,'Conversion Range'!$A$2:$A$35,0))-(('Legend Attributes'!E6-1)/19)*(INDEX('Conversion Range'!$D$2:$D$35,MATCH(E$1,'Conversion Range'!$A$2:$A$35,0))-INDEX('Conversion Range'!$C$2:$C$35,MATCH(E$1,'Conversion Range'!$A$2:$A$35,0))),INDEX('Conversion Range'!$C$2:$C$35,MATCH(E$1,'Conversion Range'!$A$2:$A$35,0))+(('Legend Attributes'!E6-1)/19)*(INDEX('Conversion Range'!$D$2:$D$35,MATCH(E$1,'Conversion Range'!$A$2:$A$35,0))-INDEX('Conversion Range'!$C$2:$C$35,MATCH(E$1,'Conversion Range'!$A$2:$A$35,0)))),3))</f>
        <v>0.29399999999999998</v>
      </c>
      <c r="F6" s="15">
        <f>IF('Legend Attributes'!F6=0,0,ROUND(IF(INDEX('Conversion Range'!$E$2:$E$35,MATCH(F$1,'Conversion Range'!$A$2:$A$35,0))=1,INDEX('Conversion Range'!$D$2:$D$35,MATCH(F$1,'Conversion Range'!$A$2:$A$35,0))-(('Legend Attributes'!F6-1)/19)*(INDEX('Conversion Range'!$D$2:$D$35,MATCH(F$1,'Conversion Range'!$A$2:$A$35,0))-INDEX('Conversion Range'!$C$2:$C$35,MATCH(F$1,'Conversion Range'!$A$2:$A$35,0))),INDEX('Conversion Range'!$C$2:$C$35,MATCH(F$1,'Conversion Range'!$A$2:$A$35,0))+(('Legend Attributes'!F6-1)/19)*(INDEX('Conversion Range'!$D$2:$D$35,MATCH(F$1,'Conversion Range'!$A$2:$A$35,0))-INDEX('Conversion Range'!$C$2:$C$35,MATCH(F$1,'Conversion Range'!$A$2:$A$35,0)))),3))</f>
        <v>2.9870000000000001</v>
      </c>
      <c r="G6" s="15">
        <f>IF('Legend Attributes'!G6=0,0,ROUND(IF(INDEX('Conversion Range'!$E$2:$E$35,MATCH(G$1,'Conversion Range'!$A$2:$A$35,0))=1,INDEX('Conversion Range'!$D$2:$D$35,MATCH(G$1,'Conversion Range'!$A$2:$A$35,0))-(('Legend Attributes'!G6-1)/19)*(INDEX('Conversion Range'!$D$2:$D$35,MATCH(G$1,'Conversion Range'!$A$2:$A$35,0))-INDEX('Conversion Range'!$C$2:$C$35,MATCH(G$1,'Conversion Range'!$A$2:$A$35,0))),INDEX('Conversion Range'!$C$2:$C$35,MATCH(G$1,'Conversion Range'!$A$2:$A$35,0))+(('Legend Attributes'!G6-1)/19)*(INDEX('Conversion Range'!$D$2:$D$35,MATCH(G$1,'Conversion Range'!$A$2:$A$35,0))-INDEX('Conversion Range'!$C$2:$C$35,MATCH(G$1,'Conversion Range'!$A$2:$A$35,0)))),3))</f>
        <v>1.599</v>
      </c>
      <c r="H6" s="15">
        <f>IF('Legend Attributes'!H6=0,0,ROUND(IF(INDEX('Conversion Range'!$E$2:$E$35,MATCH(H$1,'Conversion Range'!$A$2:$A$35,0))=1,INDEX('Conversion Range'!$D$2:$D$35,MATCH(H$1,'Conversion Range'!$A$2:$A$35,0))-(('Legend Attributes'!H6-1)/19)*(INDEX('Conversion Range'!$D$2:$D$35,MATCH(H$1,'Conversion Range'!$A$2:$A$35,0))-INDEX('Conversion Range'!$C$2:$C$35,MATCH(H$1,'Conversion Range'!$A$2:$A$35,0))),INDEX('Conversion Range'!$C$2:$C$35,MATCH(H$1,'Conversion Range'!$A$2:$A$35,0))+(('Legend Attributes'!H6-1)/19)*(INDEX('Conversion Range'!$D$2:$D$35,MATCH(H$1,'Conversion Range'!$A$2:$A$35,0))-INDEX('Conversion Range'!$C$2:$C$35,MATCH(H$1,'Conversion Range'!$A$2:$A$35,0)))),3))</f>
        <v>0.78900000000000003</v>
      </c>
      <c r="I6" s="15">
        <f>IF('Legend Attributes'!I6=0,0,ROUND(IF(INDEX('Conversion Range'!$E$2:$E$35,MATCH(I$1,'Conversion Range'!$A$2:$A$35,0))=1,INDEX('Conversion Range'!$D$2:$D$35,MATCH(I$1,'Conversion Range'!$A$2:$A$35,0))-(('Legend Attributes'!I6-1)/19)*(INDEX('Conversion Range'!$D$2:$D$35,MATCH(I$1,'Conversion Range'!$A$2:$A$35,0))-INDEX('Conversion Range'!$C$2:$C$35,MATCH(I$1,'Conversion Range'!$A$2:$A$35,0))),INDEX('Conversion Range'!$C$2:$C$35,MATCH(I$1,'Conversion Range'!$A$2:$A$35,0))+(('Legend Attributes'!I6-1)/19)*(INDEX('Conversion Range'!$D$2:$D$35,MATCH(I$1,'Conversion Range'!$A$2:$A$35,0))-INDEX('Conversion Range'!$C$2:$C$35,MATCH(I$1,'Conversion Range'!$A$2:$A$35,0)))),3))</f>
        <v>1.284</v>
      </c>
      <c r="J6" s="15">
        <f>IF('Legend Attributes'!J6=0,0,ROUND(IF(INDEX('Conversion Range'!$E$2:$E$35,MATCH(J$1,'Conversion Range'!$A$2:$A$35,0))=1,INDEX('Conversion Range'!$D$2:$D$35,MATCH(J$1,'Conversion Range'!$A$2:$A$35,0))-(('Legend Attributes'!J6-1)/19)*(INDEX('Conversion Range'!$D$2:$D$35,MATCH(J$1,'Conversion Range'!$A$2:$A$35,0))-INDEX('Conversion Range'!$C$2:$C$35,MATCH(J$1,'Conversion Range'!$A$2:$A$35,0))),INDEX('Conversion Range'!$C$2:$C$35,MATCH(J$1,'Conversion Range'!$A$2:$A$35,0))+(('Legend Attributes'!J6-1)/19)*(INDEX('Conversion Range'!$D$2:$D$35,MATCH(J$1,'Conversion Range'!$A$2:$A$35,0))-INDEX('Conversion Range'!$C$2:$C$35,MATCH(J$1,'Conversion Range'!$A$2:$A$35,0)))),3))</f>
        <v>0.85299999999999998</v>
      </c>
      <c r="K6" s="15">
        <f>IF('Legend Attributes'!K6=0,0,ROUND(IF(INDEX('Conversion Range'!$E$2:$E$35,MATCH(K$1,'Conversion Range'!$A$2:$A$35,0))=1,INDEX('Conversion Range'!$D$2:$D$35,MATCH(K$1,'Conversion Range'!$A$2:$A$35,0))-(('Legend Attributes'!K6-1)/19)*(INDEX('Conversion Range'!$D$2:$D$35,MATCH(K$1,'Conversion Range'!$A$2:$A$35,0))-INDEX('Conversion Range'!$C$2:$C$35,MATCH(K$1,'Conversion Range'!$A$2:$A$35,0))),INDEX('Conversion Range'!$C$2:$C$35,MATCH(K$1,'Conversion Range'!$A$2:$A$35,0))+(('Legend Attributes'!K6-1)/19)*(INDEX('Conversion Range'!$D$2:$D$35,MATCH(K$1,'Conversion Range'!$A$2:$A$35,0))-INDEX('Conversion Range'!$C$2:$C$35,MATCH(K$1,'Conversion Range'!$A$2:$A$35,0)))),3))</f>
        <v>0.44700000000000001</v>
      </c>
      <c r="L6" s="15">
        <f>IF('Legend Attributes'!L6=0,0,ROUND(IF(INDEX('Conversion Range'!$E$2:$E$35,MATCH(L$1,'Conversion Range'!$A$2:$A$35,0))=1,INDEX('Conversion Range'!$D$2:$D$35,MATCH(L$1,'Conversion Range'!$A$2:$A$35,0))-(('Legend Attributes'!L6-1)/19)*(INDEX('Conversion Range'!$D$2:$D$35,MATCH(L$1,'Conversion Range'!$A$2:$A$35,0))-INDEX('Conversion Range'!$C$2:$C$35,MATCH(L$1,'Conversion Range'!$A$2:$A$35,0))),INDEX('Conversion Range'!$C$2:$C$35,MATCH(L$1,'Conversion Range'!$A$2:$A$35,0))+(('Legend Attributes'!L6-1)/19)*(INDEX('Conversion Range'!$D$2:$D$35,MATCH(L$1,'Conversion Range'!$A$2:$A$35,0))-INDEX('Conversion Range'!$C$2:$C$35,MATCH(L$1,'Conversion Range'!$A$2:$A$35,0)))),3))</f>
        <v>0</v>
      </c>
      <c r="M6" s="15">
        <f>IF('Legend Attributes'!M6=0,0,ROUND(IF(INDEX('Conversion Range'!$E$2:$E$35,MATCH(M$1,'Conversion Range'!$A$2:$A$35,0))=1,INDEX('Conversion Range'!$D$2:$D$35,MATCH(M$1,'Conversion Range'!$A$2:$A$35,0))-(('Legend Attributes'!M6-1)/19)*(INDEX('Conversion Range'!$D$2:$D$35,MATCH(M$1,'Conversion Range'!$A$2:$A$35,0))-INDEX('Conversion Range'!$C$2:$C$35,MATCH(M$1,'Conversion Range'!$A$2:$A$35,0))),INDEX('Conversion Range'!$C$2:$C$35,MATCH(M$1,'Conversion Range'!$A$2:$A$35,0))+(('Legend Attributes'!M6-1)/19)*(INDEX('Conversion Range'!$D$2:$D$35,MATCH(M$1,'Conversion Range'!$A$2:$A$35,0))-INDEX('Conversion Range'!$C$2:$C$35,MATCH(M$1,'Conversion Range'!$A$2:$A$35,0)))),3))</f>
        <v>8.4000000000000005E-2</v>
      </c>
      <c r="N6" s="15">
        <f>IF('Legend Attributes'!N6=0,0,ROUND(IF(INDEX('Conversion Range'!$E$2:$E$35,MATCH(N$1,'Conversion Range'!$A$2:$A$35,0))=1,INDEX('Conversion Range'!$D$2:$D$35,MATCH(N$1,'Conversion Range'!$A$2:$A$35,0))-(('Legend Attributes'!N6-1)/19)*(INDEX('Conversion Range'!$D$2:$D$35,MATCH(N$1,'Conversion Range'!$A$2:$A$35,0))-INDEX('Conversion Range'!$C$2:$C$35,MATCH(N$1,'Conversion Range'!$A$2:$A$35,0))),INDEX('Conversion Range'!$C$2:$C$35,MATCH(N$1,'Conversion Range'!$A$2:$A$35,0))+(('Legend Attributes'!N6-1)/19)*(INDEX('Conversion Range'!$D$2:$D$35,MATCH(N$1,'Conversion Range'!$A$2:$A$35,0))-INDEX('Conversion Range'!$C$2:$C$35,MATCH(N$1,'Conversion Range'!$A$2:$A$35,0)))),3))</f>
        <v>3.9740000000000002</v>
      </c>
      <c r="O6" s="15">
        <f>IF('Legend Attributes'!O6=0,0,ROUND(IF(INDEX('Conversion Range'!$E$2:$E$35,MATCH(O$1,'Conversion Range'!$A$2:$A$35,0))=1,INDEX('Conversion Range'!$D$2:$D$35,MATCH(O$1,'Conversion Range'!$A$2:$A$35,0))-(('Legend Attributes'!O6-1)/19)*(INDEX('Conversion Range'!$D$2:$D$35,MATCH(O$1,'Conversion Range'!$A$2:$A$35,0))-INDEX('Conversion Range'!$C$2:$C$35,MATCH(O$1,'Conversion Range'!$A$2:$A$35,0))),INDEX('Conversion Range'!$C$2:$C$35,MATCH(O$1,'Conversion Range'!$A$2:$A$35,0))+(('Legend Attributes'!O6-1)/19)*(INDEX('Conversion Range'!$D$2:$D$35,MATCH(O$1,'Conversion Range'!$A$2:$A$35,0))-INDEX('Conversion Range'!$C$2:$C$35,MATCH(O$1,'Conversion Range'!$A$2:$A$35,0)))),3))</f>
        <v>2.3839999999999999</v>
      </c>
      <c r="P6" s="15">
        <f>IF('Legend Attributes'!P6=0,0,ROUND(IF(INDEX('Conversion Range'!$E$2:$E$35,MATCH(P$1,'Conversion Range'!$A$2:$A$35,0))=1,INDEX('Conversion Range'!$D$2:$D$35,MATCH(P$1,'Conversion Range'!$A$2:$A$35,0))-(('Legend Attributes'!P6-1)/19)*(INDEX('Conversion Range'!$D$2:$D$35,MATCH(P$1,'Conversion Range'!$A$2:$A$35,0))-INDEX('Conversion Range'!$C$2:$C$35,MATCH(P$1,'Conversion Range'!$A$2:$A$35,0))),INDEX('Conversion Range'!$C$2:$C$35,MATCH(P$1,'Conversion Range'!$A$2:$A$35,0))+(('Legend Attributes'!P6-1)/19)*(INDEX('Conversion Range'!$D$2:$D$35,MATCH(P$1,'Conversion Range'!$A$2:$A$35,0))-INDEX('Conversion Range'!$C$2:$C$35,MATCH(P$1,'Conversion Range'!$A$2:$A$35,0)))),3))</f>
        <v>64.736999999999995</v>
      </c>
      <c r="Q6" s="15">
        <f>IF('Legend Attributes'!Q6=0,0,ROUND(IF(INDEX('Conversion Range'!$E$2:$E$35,MATCH(Q$1,'Conversion Range'!$A$2:$A$35,0))=1,INDEX('Conversion Range'!$D$2:$D$35,MATCH(Q$1,'Conversion Range'!$A$2:$A$35,0))-(('Legend Attributes'!Q6-1)/19)*(INDEX('Conversion Range'!$D$2:$D$35,MATCH(Q$1,'Conversion Range'!$A$2:$A$35,0))-INDEX('Conversion Range'!$C$2:$C$35,MATCH(Q$1,'Conversion Range'!$A$2:$A$35,0))),INDEX('Conversion Range'!$C$2:$C$35,MATCH(Q$1,'Conversion Range'!$A$2:$A$35,0))+(('Legend Attributes'!Q6-1)/19)*(INDEX('Conversion Range'!$D$2:$D$35,MATCH(Q$1,'Conversion Range'!$A$2:$A$35,0))-INDEX('Conversion Range'!$C$2:$C$35,MATCH(Q$1,'Conversion Range'!$A$2:$A$35,0)))),3))</f>
        <v>54.104999999999997</v>
      </c>
      <c r="R6" s="15">
        <f>IF('Legend Attributes'!R6=0,0,ROUND(IF(INDEX('Conversion Range'!$E$2:$E$35,MATCH(R$1,'Conversion Range'!$A$2:$A$35,0))=1,INDEX('Conversion Range'!$D$2:$D$35,MATCH(R$1,'Conversion Range'!$A$2:$A$35,0))-(('Legend Attributes'!R6-1)/19)*(INDEX('Conversion Range'!$D$2:$D$35,MATCH(R$1,'Conversion Range'!$A$2:$A$35,0))-INDEX('Conversion Range'!$C$2:$C$35,MATCH(R$1,'Conversion Range'!$A$2:$A$35,0))),INDEX('Conversion Range'!$C$2:$C$35,MATCH(R$1,'Conversion Range'!$A$2:$A$35,0))+(('Legend Attributes'!R6-1)/19)*(INDEX('Conversion Range'!$D$2:$D$35,MATCH(R$1,'Conversion Range'!$A$2:$A$35,0))-INDEX('Conversion Range'!$C$2:$C$35,MATCH(R$1,'Conversion Range'!$A$2:$A$35,0)))),3))</f>
        <v>80.263000000000005</v>
      </c>
      <c r="S6" s="15">
        <f>IF('Legend Attributes'!S6=0,0,ROUND(IF(INDEX('Conversion Range'!$E$2:$E$35,MATCH(S$1,'Conversion Range'!$A$2:$A$35,0))=1,INDEX('Conversion Range'!$D$2:$D$35,MATCH(S$1,'Conversion Range'!$A$2:$A$35,0))-(('Legend Attributes'!S6-1)/19)*(INDEX('Conversion Range'!$D$2:$D$35,MATCH(S$1,'Conversion Range'!$A$2:$A$35,0))-INDEX('Conversion Range'!$C$2:$C$35,MATCH(S$1,'Conversion Range'!$A$2:$A$35,0))),INDEX('Conversion Range'!$C$2:$C$35,MATCH(S$1,'Conversion Range'!$A$2:$A$35,0))+(('Legend Attributes'!S6-1)/19)*(INDEX('Conversion Range'!$D$2:$D$35,MATCH(S$1,'Conversion Range'!$A$2:$A$35,0))-INDEX('Conversion Range'!$C$2:$C$35,MATCH(S$1,'Conversion Range'!$A$2:$A$35,0)))),3))</f>
        <v>1.163</v>
      </c>
      <c r="T6" s="15">
        <f>IF('Legend Attributes'!T6=0,0,ROUND(IF(INDEX('Conversion Range'!$E$2:$E$35,MATCH(T$1,'Conversion Range'!$A$2:$A$35,0))=1,INDEX('Conversion Range'!$D$2:$D$35,MATCH(T$1,'Conversion Range'!$A$2:$A$35,0))-(('Legend Attributes'!T6-1)/19)*(INDEX('Conversion Range'!$D$2:$D$35,MATCH(T$1,'Conversion Range'!$A$2:$A$35,0))-INDEX('Conversion Range'!$C$2:$C$35,MATCH(T$1,'Conversion Range'!$A$2:$A$35,0))),INDEX('Conversion Range'!$C$2:$C$35,MATCH(T$1,'Conversion Range'!$A$2:$A$35,0))+(('Legend Attributes'!T6-1)/19)*(INDEX('Conversion Range'!$D$2:$D$35,MATCH(T$1,'Conversion Range'!$A$2:$A$35,0))-INDEX('Conversion Range'!$C$2:$C$35,MATCH(T$1,'Conversion Range'!$A$2:$A$35,0)))),3))</f>
        <v>40.841999999999999</v>
      </c>
      <c r="U6" s="15">
        <f>IF('Legend Attributes'!U6=0,0,ROUND(IF(INDEX('Conversion Range'!$E$2:$E$35,MATCH(U$1,'Conversion Range'!$A$2:$A$35,0))=1,INDEX('Conversion Range'!$D$2:$D$35,MATCH(U$1,'Conversion Range'!$A$2:$A$35,0))-(('Legend Attributes'!U6-1)/19)*(INDEX('Conversion Range'!$D$2:$D$35,MATCH(U$1,'Conversion Range'!$A$2:$A$35,0))-INDEX('Conversion Range'!$C$2:$C$35,MATCH(U$1,'Conversion Range'!$A$2:$A$35,0))),INDEX('Conversion Range'!$C$2:$C$35,MATCH(U$1,'Conversion Range'!$A$2:$A$35,0))+(('Legend Attributes'!U6-1)/19)*(INDEX('Conversion Range'!$D$2:$D$35,MATCH(U$1,'Conversion Range'!$A$2:$A$35,0))-INDEX('Conversion Range'!$C$2:$C$35,MATCH(U$1,'Conversion Range'!$A$2:$A$35,0)))),3))</f>
        <v>1.121</v>
      </c>
      <c r="V6" s="15">
        <f>IF('Legend Attributes'!V6=0,0,ROUND(IF(INDEX('Conversion Range'!$E$2:$E$35,MATCH(V$1,'Conversion Range'!$A$2:$A$35,0))=1,INDEX('Conversion Range'!$D$2:$D$35,MATCH(V$1,'Conversion Range'!$A$2:$A$35,0))-(('Legend Attributes'!V6-1)/19)*(INDEX('Conversion Range'!$D$2:$D$35,MATCH(V$1,'Conversion Range'!$A$2:$A$35,0))-INDEX('Conversion Range'!$C$2:$C$35,MATCH(V$1,'Conversion Range'!$A$2:$A$35,0))),INDEX('Conversion Range'!$C$2:$C$35,MATCH(V$1,'Conversion Range'!$A$2:$A$35,0))+(('Legend Attributes'!V6-1)/19)*(INDEX('Conversion Range'!$D$2:$D$35,MATCH(V$1,'Conversion Range'!$A$2:$A$35,0))-INDEX('Conversion Range'!$C$2:$C$35,MATCH(V$1,'Conversion Range'!$A$2:$A$35,0)))),3))</f>
        <v>46.579000000000001</v>
      </c>
      <c r="W6" s="15">
        <f>IF('Legend Attributes'!W6=0,0,ROUND(IF(INDEX('Conversion Range'!$E$2:$E$35,MATCH(W$1,'Conversion Range'!$A$2:$A$35,0))=1,INDEX('Conversion Range'!$D$2:$D$35,MATCH(W$1,'Conversion Range'!$A$2:$A$35,0))-(('Legend Attributes'!W6-1)/19)*(INDEX('Conversion Range'!$D$2:$D$35,MATCH(W$1,'Conversion Range'!$A$2:$A$35,0))-INDEX('Conversion Range'!$C$2:$C$35,MATCH(W$1,'Conversion Range'!$A$2:$A$35,0))),INDEX('Conversion Range'!$C$2:$C$35,MATCH(W$1,'Conversion Range'!$A$2:$A$35,0))+(('Legend Attributes'!W6-1)/19)*(INDEX('Conversion Range'!$D$2:$D$35,MATCH(W$1,'Conversion Range'!$A$2:$A$35,0))-INDEX('Conversion Range'!$C$2:$C$35,MATCH(W$1,'Conversion Range'!$A$2:$A$35,0)))),3))</f>
        <v>0.26300000000000001</v>
      </c>
      <c r="X6" s="15">
        <f>IF('Legend Attributes'!X6=0,0,ROUND(IF(INDEX('Conversion Range'!$E$2:$E$35,MATCH(X$1,'Conversion Range'!$A$2:$A$35,0))=1,INDEX('Conversion Range'!$D$2:$D$35,MATCH(X$1,'Conversion Range'!$A$2:$A$35,0))-(('Legend Attributes'!X6-1)/19)*(INDEX('Conversion Range'!$D$2:$D$35,MATCH(X$1,'Conversion Range'!$A$2:$A$35,0))-INDEX('Conversion Range'!$C$2:$C$35,MATCH(X$1,'Conversion Range'!$A$2:$A$35,0))),INDEX('Conversion Range'!$C$2:$C$35,MATCH(X$1,'Conversion Range'!$A$2:$A$35,0))+(('Legend Attributes'!X6-1)/19)*(INDEX('Conversion Range'!$D$2:$D$35,MATCH(X$1,'Conversion Range'!$A$2:$A$35,0))-INDEX('Conversion Range'!$C$2:$C$35,MATCH(X$1,'Conversion Range'!$A$2:$A$35,0)))),3))</f>
        <v>0.52100000000000002</v>
      </c>
      <c r="Y6" s="15">
        <f>IF('Legend Attributes'!Y6=0,0,ROUND(IF(INDEX('Conversion Range'!$E$2:$E$35,MATCH(Y$1,'Conversion Range'!$A$2:$A$35,0))=1,INDEX('Conversion Range'!$D$2:$D$35,MATCH(Y$1,'Conversion Range'!$A$2:$A$35,0))-(('Legend Attributes'!Y6-1)/19)*(INDEX('Conversion Range'!$D$2:$D$35,MATCH(Y$1,'Conversion Range'!$A$2:$A$35,0))-INDEX('Conversion Range'!$C$2:$C$35,MATCH(Y$1,'Conversion Range'!$A$2:$A$35,0))),INDEX('Conversion Range'!$C$2:$C$35,MATCH(Y$1,'Conversion Range'!$A$2:$A$35,0))+(('Legend Attributes'!Y6-1)/19)*(INDEX('Conversion Range'!$D$2:$D$35,MATCH(Y$1,'Conversion Range'!$A$2:$A$35,0))-INDEX('Conversion Range'!$C$2:$C$35,MATCH(Y$1,'Conversion Range'!$A$2:$A$35,0)))),3))</f>
        <v>0.42599999999999999</v>
      </c>
      <c r="Z6" s="15">
        <f>IF('Legend Attributes'!Z6=0,0,ROUND(IF(INDEX('Conversion Range'!$E$2:$E$35,MATCH(Z$1,'Conversion Range'!$A$2:$A$35,0))=1,INDEX('Conversion Range'!$D$2:$D$35,MATCH(Z$1,'Conversion Range'!$A$2:$A$35,0))-(('Legend Attributes'!Z6-1)/19)*(INDEX('Conversion Range'!$D$2:$D$35,MATCH(Z$1,'Conversion Range'!$A$2:$A$35,0))-INDEX('Conversion Range'!$C$2:$C$35,MATCH(Z$1,'Conversion Range'!$A$2:$A$35,0))),INDEX('Conversion Range'!$C$2:$C$35,MATCH(Z$1,'Conversion Range'!$A$2:$A$35,0))+(('Legend Attributes'!Z6-1)/19)*(INDEX('Conversion Range'!$D$2:$D$35,MATCH(Z$1,'Conversion Range'!$A$2:$A$35,0))-INDEX('Conversion Range'!$C$2:$C$35,MATCH(Z$1,'Conversion Range'!$A$2:$A$35,0)))),3))</f>
        <v>9.4209999999999994</v>
      </c>
      <c r="AA6" s="15">
        <f>IF('Legend Attributes'!AA6=0,0,ROUND(IF(INDEX('Conversion Range'!$E$2:$E$35,MATCH(AA$1,'Conversion Range'!$A$2:$A$35,0))=1,INDEX('Conversion Range'!$D$2:$D$35,MATCH(AA$1,'Conversion Range'!$A$2:$A$35,0))-(('Legend Attributes'!AA6-1)/19)*(INDEX('Conversion Range'!$D$2:$D$35,MATCH(AA$1,'Conversion Range'!$A$2:$A$35,0))-INDEX('Conversion Range'!$C$2:$C$35,MATCH(AA$1,'Conversion Range'!$A$2:$A$35,0))),INDEX('Conversion Range'!$C$2:$C$35,MATCH(AA$1,'Conversion Range'!$A$2:$A$35,0))+(('Legend Attributes'!AA6-1)/19)*(INDEX('Conversion Range'!$D$2:$D$35,MATCH(AA$1,'Conversion Range'!$A$2:$A$35,0))-INDEX('Conversion Range'!$C$2:$C$35,MATCH(AA$1,'Conversion Range'!$A$2:$A$35,0)))),3))</f>
        <v>9.1999999999999998E-2</v>
      </c>
      <c r="AB6" s="15">
        <f>IF('Legend Attributes'!AB6=0,0,ROUND(IF(INDEX('Conversion Range'!$E$2:$E$35,MATCH(AB$1,'Conversion Range'!$A$2:$A$35,0))=1,INDEX('Conversion Range'!$D$2:$D$35,MATCH(AB$1,'Conversion Range'!$A$2:$A$35,0))-(('Legend Attributes'!AB6-1)/19)*(INDEX('Conversion Range'!$D$2:$D$35,MATCH(AB$1,'Conversion Range'!$A$2:$A$35,0))-INDEX('Conversion Range'!$C$2:$C$35,MATCH(AB$1,'Conversion Range'!$A$2:$A$35,0))),INDEX('Conversion Range'!$C$2:$C$35,MATCH(AB$1,'Conversion Range'!$A$2:$A$35,0))+(('Legend Attributes'!AB6-1)/19)*(INDEX('Conversion Range'!$D$2:$D$35,MATCH(AB$1,'Conversion Range'!$A$2:$A$35,0))-INDEX('Conversion Range'!$C$2:$C$35,MATCH(AB$1,'Conversion Range'!$A$2:$A$35,0)))),3))</f>
        <v>0.66600000000000004</v>
      </c>
      <c r="AC6" s="15">
        <f>IF('Legend Attributes'!AC6=0,0,ROUND(IF(INDEX('Conversion Range'!$E$2:$E$35,MATCH(AC$1,'Conversion Range'!$A$2:$A$35,0))=1,INDEX('Conversion Range'!$D$2:$D$35,MATCH(AC$1,'Conversion Range'!$A$2:$A$35,0))-(('Legend Attributes'!AC6-1)/19)*(INDEX('Conversion Range'!$D$2:$D$35,MATCH(AC$1,'Conversion Range'!$A$2:$A$35,0))-INDEX('Conversion Range'!$C$2:$C$35,MATCH(AC$1,'Conversion Range'!$A$2:$A$35,0))),INDEX('Conversion Range'!$C$2:$C$35,MATCH(AC$1,'Conversion Range'!$A$2:$A$35,0))+(('Legend Attributes'!AC6-1)/19)*(INDEX('Conversion Range'!$D$2:$D$35,MATCH(AC$1,'Conversion Range'!$A$2:$A$35,0))-INDEX('Conversion Range'!$C$2:$C$35,MATCH(AC$1,'Conversion Range'!$A$2:$A$35,0)))),3))</f>
        <v>0.30399999999999999</v>
      </c>
      <c r="AD6" s="15">
        <f>IF('Legend Attributes'!AD6=0,0,ROUND(IF(INDEX('Conversion Range'!$E$2:$E$35,MATCH(AD$1,'Conversion Range'!$A$2:$A$35,0))=1,INDEX('Conversion Range'!$D$2:$D$35,MATCH(AD$1,'Conversion Range'!$A$2:$A$35,0))-(('Legend Attributes'!AD6-1)/19)*(INDEX('Conversion Range'!$D$2:$D$35,MATCH(AD$1,'Conversion Range'!$A$2:$A$35,0))-INDEX('Conversion Range'!$C$2:$C$35,MATCH(AD$1,'Conversion Range'!$A$2:$A$35,0))),INDEX('Conversion Range'!$C$2:$C$35,MATCH(AD$1,'Conversion Range'!$A$2:$A$35,0))+(('Legend Attributes'!AD6-1)/19)*(INDEX('Conversion Range'!$D$2:$D$35,MATCH(AD$1,'Conversion Range'!$A$2:$A$35,0))-INDEX('Conversion Range'!$C$2:$C$35,MATCH(AD$1,'Conversion Range'!$A$2:$A$35,0)))),3))</f>
        <v>0</v>
      </c>
      <c r="AE6" s="15">
        <f>IF('Legend Attributes'!AE6=0,0,ROUND(IF(INDEX('Conversion Range'!$E$2:$E$35,MATCH(AE$1,'Conversion Range'!$A$2:$A$35,0))=1,INDEX('Conversion Range'!$D$2:$D$35,MATCH(AE$1,'Conversion Range'!$A$2:$A$35,0))-(('Legend Attributes'!AE6-1)/19)*(INDEX('Conversion Range'!$D$2:$D$35,MATCH(AE$1,'Conversion Range'!$A$2:$A$35,0))-INDEX('Conversion Range'!$C$2:$C$35,MATCH(AE$1,'Conversion Range'!$A$2:$A$35,0))),INDEX('Conversion Range'!$C$2:$C$35,MATCH(AE$1,'Conversion Range'!$A$2:$A$35,0))+(('Legend Attributes'!AE6-1)/19)*(INDEX('Conversion Range'!$D$2:$D$35,MATCH(AE$1,'Conversion Range'!$A$2:$A$35,0))-INDEX('Conversion Range'!$C$2:$C$35,MATCH(AE$1,'Conversion Range'!$A$2:$A$35,0)))),3))</f>
        <v>0</v>
      </c>
      <c r="AF6" s="15">
        <f>IF('Legend Attributes'!AF6=0,0,ROUND(IF(INDEX('Conversion Range'!$E$2:$E$35,MATCH(AF$1,'Conversion Range'!$A$2:$A$35,0))=1,INDEX('Conversion Range'!$D$2:$D$35,MATCH(AF$1,'Conversion Range'!$A$2:$A$35,0))-(('Legend Attributes'!AF6-1)/19)*(INDEX('Conversion Range'!$D$2:$D$35,MATCH(AF$1,'Conversion Range'!$A$2:$A$35,0))-INDEX('Conversion Range'!$C$2:$C$35,MATCH(AF$1,'Conversion Range'!$A$2:$A$35,0))),INDEX('Conversion Range'!$C$2:$C$35,MATCH(AF$1,'Conversion Range'!$A$2:$A$35,0))+(('Legend Attributes'!AF6-1)/19)*(INDEX('Conversion Range'!$D$2:$D$35,MATCH(AF$1,'Conversion Range'!$A$2:$A$35,0))-INDEX('Conversion Range'!$C$2:$C$35,MATCH(AF$1,'Conversion Range'!$A$2:$A$35,0)))),3))</f>
        <v>0</v>
      </c>
      <c r="AG6" s="15">
        <f>IF('Legend Attributes'!AG6=0,0,ROUND(IF(INDEX('Conversion Range'!$E$2:$E$35,MATCH(AG$1,'Conversion Range'!$A$2:$A$35,0))=1,INDEX('Conversion Range'!$D$2:$D$35,MATCH(AG$1,'Conversion Range'!$A$2:$A$35,0))-(('Legend Attributes'!AG6-1)/19)*(INDEX('Conversion Range'!$D$2:$D$35,MATCH(AG$1,'Conversion Range'!$A$2:$A$35,0))-INDEX('Conversion Range'!$C$2:$C$35,MATCH(AG$1,'Conversion Range'!$A$2:$A$35,0))),INDEX('Conversion Range'!$C$2:$C$35,MATCH(AG$1,'Conversion Range'!$A$2:$A$35,0))+(('Legend Attributes'!AG6-1)/19)*(INDEX('Conversion Range'!$D$2:$D$35,MATCH(AG$1,'Conversion Range'!$A$2:$A$35,0))-INDEX('Conversion Range'!$C$2:$C$35,MATCH(AG$1,'Conversion Range'!$A$2:$A$35,0)))),3))</f>
        <v>0.89500000000000002</v>
      </c>
      <c r="AH6" s="15">
        <f>IF('Legend Attributes'!AH6=0,0,ROUND(IF(INDEX('Conversion Range'!$E$2:$E$35,MATCH(AH$1,'Conversion Range'!$A$2:$A$35,0))=1,INDEX('Conversion Range'!$D$2:$D$35,MATCH(AH$1,'Conversion Range'!$A$2:$A$35,0))-(('Legend Attributes'!AH6-1)/19)*(INDEX('Conversion Range'!$D$2:$D$35,MATCH(AH$1,'Conversion Range'!$A$2:$A$35,0))-INDEX('Conversion Range'!$C$2:$C$35,MATCH(AH$1,'Conversion Range'!$A$2:$A$35,0))),INDEX('Conversion Range'!$C$2:$C$35,MATCH(AH$1,'Conversion Range'!$A$2:$A$35,0))+(('Legend Attributes'!AH6-1)/19)*(INDEX('Conversion Range'!$D$2:$D$35,MATCH(AH$1,'Conversion Range'!$A$2:$A$35,0))-INDEX('Conversion Range'!$C$2:$C$35,MATCH(AH$1,'Conversion Range'!$A$2:$A$35,0)))),3))</f>
        <v>0.13300000000000001</v>
      </c>
      <c r="AI6" s="15">
        <f>IF('Legend Attributes'!AI6=0,0,ROUND(IF(INDEX('Conversion Range'!$E$2:$E$35,MATCH(AI$1,'Conversion Range'!$A$2:$A$35,0))=1,INDEX('Conversion Range'!$D$2:$D$35,MATCH(AI$1,'Conversion Range'!$A$2:$A$35,0))-(('Legend Attributes'!AI6-1)/19)*(INDEX('Conversion Range'!$D$2:$D$35,MATCH(AI$1,'Conversion Range'!$A$2:$A$35,0))-INDEX('Conversion Range'!$C$2:$C$35,MATCH(AI$1,'Conversion Range'!$A$2:$A$35,0))),INDEX('Conversion Range'!$C$2:$C$35,MATCH(AI$1,'Conversion Range'!$A$2:$A$35,0))+(('Legend Attributes'!AI6-1)/19)*(INDEX('Conversion Range'!$D$2:$D$35,MATCH(AI$1,'Conversion Range'!$A$2:$A$35,0))-INDEX('Conversion Range'!$C$2:$C$35,MATCH(AI$1,'Conversion Range'!$A$2:$A$35,0)))),3))</f>
        <v>1.9E-2</v>
      </c>
      <c r="AJ6" s="15">
        <f>IF('Legend Attributes'!AJ6=0,0,ROUND(IF(INDEX('Conversion Range'!$E$2:$E$35,MATCH(AJ$1,'Conversion Range'!$A$2:$A$35,0))=1,INDEX('Conversion Range'!$D$2:$D$35,MATCH(AJ$1,'Conversion Range'!$A$2:$A$35,0))-(('Legend Attributes'!AJ6-1)/19)*(INDEX('Conversion Range'!$D$2:$D$35,MATCH(AJ$1,'Conversion Range'!$A$2:$A$35,0))-INDEX('Conversion Range'!$C$2:$C$35,MATCH(AJ$1,'Conversion Range'!$A$2:$A$35,0))),INDEX('Conversion Range'!$C$2:$C$35,MATCH(AJ$1,'Conversion Range'!$A$2:$A$35,0))+(('Legend Attributes'!AJ6-1)/19)*(INDEX('Conversion Range'!$D$2:$D$35,MATCH(AJ$1,'Conversion Range'!$A$2:$A$35,0))-INDEX('Conversion Range'!$C$2:$C$35,MATCH(AJ$1,'Conversion Range'!$A$2:$A$35,0)))),3))</f>
        <v>7.8209999999999997</v>
      </c>
    </row>
    <row r="7" spans="1:36" x14ac:dyDescent="0.35">
      <c r="A7" s="14" t="str">
        <f>'Legend Attributes'!A7</f>
        <v>Neymar</v>
      </c>
      <c r="B7" s="15" t="str">
        <f>'Legend Attributes'!B7</f>
        <v>W</v>
      </c>
      <c r="C7" s="15">
        <f>IF('Legend Attributes'!C7=0,0,ROUND(IF(INDEX('Conversion Range'!$E$2:$E$35,MATCH(C$1,'Conversion Range'!$A$2:$A$35,0))=1,INDEX('Conversion Range'!$D$2:$D$35,MATCH(C$1,'Conversion Range'!$A$2:$A$35,0))-(('Legend Attributes'!C7-1)/19)*(INDEX('Conversion Range'!$D$2:$D$35,MATCH(C$1,'Conversion Range'!$A$2:$A$35,0))-INDEX('Conversion Range'!$C$2:$C$35,MATCH(C$1,'Conversion Range'!$A$2:$A$35,0))),INDEX('Conversion Range'!$C$2:$C$35,MATCH(C$1,'Conversion Range'!$A$2:$A$35,0))+(('Legend Attributes'!C7-1)/19)*(INDEX('Conversion Range'!$D$2:$D$35,MATCH(C$1,'Conversion Range'!$A$2:$A$35,0))-INDEX('Conversion Range'!$C$2:$C$35,MATCH(C$1,'Conversion Range'!$A$2:$A$35,0)))),3))</f>
        <v>0.63200000000000001</v>
      </c>
      <c r="D7" s="15">
        <f>IF('Legend Attributes'!D7=0,0,ROUND(IF(INDEX('Conversion Range'!$E$2:$E$35,MATCH(D$1,'Conversion Range'!$A$2:$A$35,0))=1,INDEX('Conversion Range'!$D$2:$D$35,MATCH(D$1,'Conversion Range'!$A$2:$A$35,0))-(('Legend Attributes'!D7-1)/19)*(INDEX('Conversion Range'!$D$2:$D$35,MATCH(D$1,'Conversion Range'!$A$2:$A$35,0))-INDEX('Conversion Range'!$C$2:$C$35,MATCH(D$1,'Conversion Range'!$A$2:$A$35,0))),INDEX('Conversion Range'!$C$2:$C$35,MATCH(D$1,'Conversion Range'!$A$2:$A$35,0))+(('Legend Attributes'!D7-1)/19)*(INDEX('Conversion Range'!$D$2:$D$35,MATCH(D$1,'Conversion Range'!$A$2:$A$35,0))-INDEX('Conversion Range'!$C$2:$C$35,MATCH(D$1,'Conversion Range'!$A$2:$A$35,0)))),3))</f>
        <v>0.55800000000000005</v>
      </c>
      <c r="E7" s="15">
        <f>IF('Legend Attributes'!E7=0,0,ROUND(IF(INDEX('Conversion Range'!$E$2:$E$35,MATCH(E$1,'Conversion Range'!$A$2:$A$35,0))=1,INDEX('Conversion Range'!$D$2:$D$35,MATCH(E$1,'Conversion Range'!$A$2:$A$35,0))-(('Legend Attributes'!E7-1)/19)*(INDEX('Conversion Range'!$D$2:$D$35,MATCH(E$1,'Conversion Range'!$A$2:$A$35,0))-INDEX('Conversion Range'!$C$2:$C$35,MATCH(E$1,'Conversion Range'!$A$2:$A$35,0))),INDEX('Conversion Range'!$C$2:$C$35,MATCH(E$1,'Conversion Range'!$A$2:$A$35,0))+(('Legend Attributes'!E7-1)/19)*(INDEX('Conversion Range'!$D$2:$D$35,MATCH(E$1,'Conversion Range'!$A$2:$A$35,0))-INDEX('Conversion Range'!$C$2:$C$35,MATCH(E$1,'Conversion Range'!$A$2:$A$35,0)))),3))</f>
        <v>0.40799999999999997</v>
      </c>
      <c r="F7" s="15">
        <f>IF('Legend Attributes'!F7=0,0,ROUND(IF(INDEX('Conversion Range'!$E$2:$E$35,MATCH(F$1,'Conversion Range'!$A$2:$A$35,0))=1,INDEX('Conversion Range'!$D$2:$D$35,MATCH(F$1,'Conversion Range'!$A$2:$A$35,0))-(('Legend Attributes'!F7-1)/19)*(INDEX('Conversion Range'!$D$2:$D$35,MATCH(F$1,'Conversion Range'!$A$2:$A$35,0))-INDEX('Conversion Range'!$C$2:$C$35,MATCH(F$1,'Conversion Range'!$A$2:$A$35,0))),INDEX('Conversion Range'!$C$2:$C$35,MATCH(F$1,'Conversion Range'!$A$2:$A$35,0))+(('Legend Attributes'!F7-1)/19)*(INDEX('Conversion Range'!$D$2:$D$35,MATCH(F$1,'Conversion Range'!$A$2:$A$35,0))-INDEX('Conversion Range'!$C$2:$C$35,MATCH(F$1,'Conversion Range'!$A$2:$A$35,0)))),3))</f>
        <v>2.7839999999999998</v>
      </c>
      <c r="G7" s="15">
        <f>IF('Legend Attributes'!G7=0,0,ROUND(IF(INDEX('Conversion Range'!$E$2:$E$35,MATCH(G$1,'Conversion Range'!$A$2:$A$35,0))=1,INDEX('Conversion Range'!$D$2:$D$35,MATCH(G$1,'Conversion Range'!$A$2:$A$35,0))-(('Legend Attributes'!G7-1)/19)*(INDEX('Conversion Range'!$D$2:$D$35,MATCH(G$1,'Conversion Range'!$A$2:$A$35,0))-INDEX('Conversion Range'!$C$2:$C$35,MATCH(G$1,'Conversion Range'!$A$2:$A$35,0))),INDEX('Conversion Range'!$C$2:$C$35,MATCH(G$1,'Conversion Range'!$A$2:$A$35,0))+(('Legend Attributes'!G7-1)/19)*(INDEX('Conversion Range'!$D$2:$D$35,MATCH(G$1,'Conversion Range'!$A$2:$A$35,0))-INDEX('Conversion Range'!$C$2:$C$35,MATCH(G$1,'Conversion Range'!$A$2:$A$35,0)))),3))</f>
        <v>1.482</v>
      </c>
      <c r="H7" s="15">
        <f>IF('Legend Attributes'!H7=0,0,ROUND(IF(INDEX('Conversion Range'!$E$2:$E$35,MATCH(H$1,'Conversion Range'!$A$2:$A$35,0))=1,INDEX('Conversion Range'!$D$2:$D$35,MATCH(H$1,'Conversion Range'!$A$2:$A$35,0))-(('Legend Attributes'!H7-1)/19)*(INDEX('Conversion Range'!$D$2:$D$35,MATCH(H$1,'Conversion Range'!$A$2:$A$35,0))-INDEX('Conversion Range'!$C$2:$C$35,MATCH(H$1,'Conversion Range'!$A$2:$A$35,0))),INDEX('Conversion Range'!$C$2:$C$35,MATCH(H$1,'Conversion Range'!$A$2:$A$35,0))+(('Legend Attributes'!H7-1)/19)*(INDEX('Conversion Range'!$D$2:$D$35,MATCH(H$1,'Conversion Range'!$A$2:$A$35,0))-INDEX('Conversion Range'!$C$2:$C$35,MATCH(H$1,'Conversion Range'!$A$2:$A$35,0)))),3))</f>
        <v>0.73699999999999999</v>
      </c>
      <c r="I7" s="15">
        <f>IF('Legend Attributes'!I7=0,0,ROUND(IF(INDEX('Conversion Range'!$E$2:$E$35,MATCH(I$1,'Conversion Range'!$A$2:$A$35,0))=1,INDEX('Conversion Range'!$D$2:$D$35,MATCH(I$1,'Conversion Range'!$A$2:$A$35,0))-(('Legend Attributes'!I7-1)/19)*(INDEX('Conversion Range'!$D$2:$D$35,MATCH(I$1,'Conversion Range'!$A$2:$A$35,0))-INDEX('Conversion Range'!$C$2:$C$35,MATCH(I$1,'Conversion Range'!$A$2:$A$35,0))),INDEX('Conversion Range'!$C$2:$C$35,MATCH(I$1,'Conversion Range'!$A$2:$A$35,0))+(('Legend Attributes'!I7-1)/19)*(INDEX('Conversion Range'!$D$2:$D$35,MATCH(I$1,'Conversion Range'!$A$2:$A$35,0))-INDEX('Conversion Range'!$C$2:$C$35,MATCH(I$1,'Conversion Range'!$A$2:$A$35,0)))),3))</f>
        <v>1.8109999999999999</v>
      </c>
      <c r="J7" s="15">
        <f>IF('Legend Attributes'!J7=0,0,ROUND(IF(INDEX('Conversion Range'!$E$2:$E$35,MATCH(J$1,'Conversion Range'!$A$2:$A$35,0))=1,INDEX('Conversion Range'!$D$2:$D$35,MATCH(J$1,'Conversion Range'!$A$2:$A$35,0))-(('Legend Attributes'!J7-1)/19)*(INDEX('Conversion Range'!$D$2:$D$35,MATCH(J$1,'Conversion Range'!$A$2:$A$35,0))-INDEX('Conversion Range'!$C$2:$C$35,MATCH(J$1,'Conversion Range'!$A$2:$A$35,0))),INDEX('Conversion Range'!$C$2:$C$35,MATCH(J$1,'Conversion Range'!$A$2:$A$35,0))+(('Legend Attributes'!J7-1)/19)*(INDEX('Conversion Range'!$D$2:$D$35,MATCH(J$1,'Conversion Range'!$A$2:$A$35,0))-INDEX('Conversion Range'!$C$2:$C$35,MATCH(J$1,'Conversion Range'!$A$2:$A$35,0)))),3))</f>
        <v>0.68899999999999995</v>
      </c>
      <c r="K7" s="15">
        <f>IF('Legend Attributes'!K7=0,0,ROUND(IF(INDEX('Conversion Range'!$E$2:$E$35,MATCH(K$1,'Conversion Range'!$A$2:$A$35,0))=1,INDEX('Conversion Range'!$D$2:$D$35,MATCH(K$1,'Conversion Range'!$A$2:$A$35,0))-(('Legend Attributes'!K7-1)/19)*(INDEX('Conversion Range'!$D$2:$D$35,MATCH(K$1,'Conversion Range'!$A$2:$A$35,0))-INDEX('Conversion Range'!$C$2:$C$35,MATCH(K$1,'Conversion Range'!$A$2:$A$35,0))),INDEX('Conversion Range'!$C$2:$C$35,MATCH(K$1,'Conversion Range'!$A$2:$A$35,0))+(('Legend Attributes'!K7-1)/19)*(INDEX('Conversion Range'!$D$2:$D$35,MATCH(K$1,'Conversion Range'!$A$2:$A$35,0))-INDEX('Conversion Range'!$C$2:$C$35,MATCH(K$1,'Conversion Range'!$A$2:$A$35,0)))),3))</f>
        <v>0.44700000000000001</v>
      </c>
      <c r="L7" s="15">
        <f>IF('Legend Attributes'!L7=0,0,ROUND(IF(INDEX('Conversion Range'!$E$2:$E$35,MATCH(L$1,'Conversion Range'!$A$2:$A$35,0))=1,INDEX('Conversion Range'!$D$2:$D$35,MATCH(L$1,'Conversion Range'!$A$2:$A$35,0))-(('Legend Attributes'!L7-1)/19)*(INDEX('Conversion Range'!$D$2:$D$35,MATCH(L$1,'Conversion Range'!$A$2:$A$35,0))-INDEX('Conversion Range'!$C$2:$C$35,MATCH(L$1,'Conversion Range'!$A$2:$A$35,0))),INDEX('Conversion Range'!$C$2:$C$35,MATCH(L$1,'Conversion Range'!$A$2:$A$35,0))+(('Legend Attributes'!L7-1)/19)*(INDEX('Conversion Range'!$D$2:$D$35,MATCH(L$1,'Conversion Range'!$A$2:$A$35,0))-INDEX('Conversion Range'!$C$2:$C$35,MATCH(L$1,'Conversion Range'!$A$2:$A$35,0)))),3))</f>
        <v>0</v>
      </c>
      <c r="M7" s="15">
        <f>IF('Legend Attributes'!M7=0,0,ROUND(IF(INDEX('Conversion Range'!$E$2:$E$35,MATCH(M$1,'Conversion Range'!$A$2:$A$35,0))=1,INDEX('Conversion Range'!$D$2:$D$35,MATCH(M$1,'Conversion Range'!$A$2:$A$35,0))-(('Legend Attributes'!M7-1)/19)*(INDEX('Conversion Range'!$D$2:$D$35,MATCH(M$1,'Conversion Range'!$A$2:$A$35,0))-INDEX('Conversion Range'!$C$2:$C$35,MATCH(M$1,'Conversion Range'!$A$2:$A$35,0))),INDEX('Conversion Range'!$C$2:$C$35,MATCH(M$1,'Conversion Range'!$A$2:$A$35,0))+(('Legend Attributes'!M7-1)/19)*(INDEX('Conversion Range'!$D$2:$D$35,MATCH(M$1,'Conversion Range'!$A$2:$A$35,0))-INDEX('Conversion Range'!$C$2:$C$35,MATCH(M$1,'Conversion Range'!$A$2:$A$35,0)))),3))</f>
        <v>8.4000000000000005E-2</v>
      </c>
      <c r="N7" s="15">
        <f>IF('Legend Attributes'!N7=0,0,ROUND(IF(INDEX('Conversion Range'!$E$2:$E$35,MATCH(N$1,'Conversion Range'!$A$2:$A$35,0))=1,INDEX('Conversion Range'!$D$2:$D$35,MATCH(N$1,'Conversion Range'!$A$2:$A$35,0))-(('Legend Attributes'!N7-1)/19)*(INDEX('Conversion Range'!$D$2:$D$35,MATCH(N$1,'Conversion Range'!$A$2:$A$35,0))-INDEX('Conversion Range'!$C$2:$C$35,MATCH(N$1,'Conversion Range'!$A$2:$A$35,0))),INDEX('Conversion Range'!$C$2:$C$35,MATCH(N$1,'Conversion Range'!$A$2:$A$35,0))+(('Legend Attributes'!N7-1)/19)*(INDEX('Conversion Range'!$D$2:$D$35,MATCH(N$1,'Conversion Range'!$A$2:$A$35,0))-INDEX('Conversion Range'!$C$2:$C$35,MATCH(N$1,'Conversion Range'!$A$2:$A$35,0)))),3))</f>
        <v>3.9740000000000002</v>
      </c>
      <c r="O7" s="15">
        <f>IF('Legend Attributes'!O7=0,0,ROUND(IF(INDEX('Conversion Range'!$E$2:$E$35,MATCH(O$1,'Conversion Range'!$A$2:$A$35,0))=1,INDEX('Conversion Range'!$D$2:$D$35,MATCH(O$1,'Conversion Range'!$A$2:$A$35,0))-(('Legend Attributes'!O7-1)/19)*(INDEX('Conversion Range'!$D$2:$D$35,MATCH(O$1,'Conversion Range'!$A$2:$A$35,0))-INDEX('Conversion Range'!$C$2:$C$35,MATCH(O$1,'Conversion Range'!$A$2:$A$35,0))),INDEX('Conversion Range'!$C$2:$C$35,MATCH(O$1,'Conversion Range'!$A$2:$A$35,0))+(('Legend Attributes'!O7-1)/19)*(INDEX('Conversion Range'!$D$2:$D$35,MATCH(O$1,'Conversion Range'!$A$2:$A$35,0))-INDEX('Conversion Range'!$C$2:$C$35,MATCH(O$1,'Conversion Range'!$A$2:$A$35,0)))),3))</f>
        <v>3.2</v>
      </c>
      <c r="P7" s="15">
        <f>IF('Legend Attributes'!P7=0,0,ROUND(IF(INDEX('Conversion Range'!$E$2:$E$35,MATCH(P$1,'Conversion Range'!$A$2:$A$35,0))=1,INDEX('Conversion Range'!$D$2:$D$35,MATCH(P$1,'Conversion Range'!$A$2:$A$35,0))-(('Legend Attributes'!P7-1)/19)*(INDEX('Conversion Range'!$D$2:$D$35,MATCH(P$1,'Conversion Range'!$A$2:$A$35,0))-INDEX('Conversion Range'!$C$2:$C$35,MATCH(P$1,'Conversion Range'!$A$2:$A$35,0))),INDEX('Conversion Range'!$C$2:$C$35,MATCH(P$1,'Conversion Range'!$A$2:$A$35,0))+(('Legend Attributes'!P7-1)/19)*(INDEX('Conversion Range'!$D$2:$D$35,MATCH(P$1,'Conversion Range'!$A$2:$A$35,0))-INDEX('Conversion Range'!$C$2:$C$35,MATCH(P$1,'Conversion Range'!$A$2:$A$35,0)))),3))</f>
        <v>76.316000000000003</v>
      </c>
      <c r="Q7" s="15">
        <f>IF('Legend Attributes'!Q7=0,0,ROUND(IF(INDEX('Conversion Range'!$E$2:$E$35,MATCH(Q$1,'Conversion Range'!$A$2:$A$35,0))=1,INDEX('Conversion Range'!$D$2:$D$35,MATCH(Q$1,'Conversion Range'!$A$2:$A$35,0))-(('Legend Attributes'!Q7-1)/19)*(INDEX('Conversion Range'!$D$2:$D$35,MATCH(Q$1,'Conversion Range'!$A$2:$A$35,0))-INDEX('Conversion Range'!$C$2:$C$35,MATCH(Q$1,'Conversion Range'!$A$2:$A$35,0))),INDEX('Conversion Range'!$C$2:$C$35,MATCH(Q$1,'Conversion Range'!$A$2:$A$35,0))+(('Legend Attributes'!Q7-1)/19)*(INDEX('Conversion Range'!$D$2:$D$35,MATCH(Q$1,'Conversion Range'!$A$2:$A$35,0))-INDEX('Conversion Range'!$C$2:$C$35,MATCH(Q$1,'Conversion Range'!$A$2:$A$35,0)))),3))</f>
        <v>54.104999999999997</v>
      </c>
      <c r="R7" s="15">
        <f>IF('Legend Attributes'!R7=0,0,ROUND(IF(INDEX('Conversion Range'!$E$2:$E$35,MATCH(R$1,'Conversion Range'!$A$2:$A$35,0))=1,INDEX('Conversion Range'!$D$2:$D$35,MATCH(R$1,'Conversion Range'!$A$2:$A$35,0))-(('Legend Attributes'!R7-1)/19)*(INDEX('Conversion Range'!$D$2:$D$35,MATCH(R$1,'Conversion Range'!$A$2:$A$35,0))-INDEX('Conversion Range'!$C$2:$C$35,MATCH(R$1,'Conversion Range'!$A$2:$A$35,0))),INDEX('Conversion Range'!$C$2:$C$35,MATCH(R$1,'Conversion Range'!$A$2:$A$35,0))+(('Legend Attributes'!R7-1)/19)*(INDEX('Conversion Range'!$D$2:$D$35,MATCH(R$1,'Conversion Range'!$A$2:$A$35,0))-INDEX('Conversion Range'!$C$2:$C$35,MATCH(R$1,'Conversion Range'!$A$2:$A$35,0)))),3))</f>
        <v>82.367999999999995</v>
      </c>
      <c r="S7" s="15">
        <f>IF('Legend Attributes'!S7=0,0,ROUND(IF(INDEX('Conversion Range'!$E$2:$E$35,MATCH(S$1,'Conversion Range'!$A$2:$A$35,0))=1,INDEX('Conversion Range'!$D$2:$D$35,MATCH(S$1,'Conversion Range'!$A$2:$A$35,0))-(('Legend Attributes'!S7-1)/19)*(INDEX('Conversion Range'!$D$2:$D$35,MATCH(S$1,'Conversion Range'!$A$2:$A$35,0))-INDEX('Conversion Range'!$C$2:$C$35,MATCH(S$1,'Conversion Range'!$A$2:$A$35,0))),INDEX('Conversion Range'!$C$2:$C$35,MATCH(S$1,'Conversion Range'!$A$2:$A$35,0))+(('Legend Attributes'!S7-1)/19)*(INDEX('Conversion Range'!$D$2:$D$35,MATCH(S$1,'Conversion Range'!$A$2:$A$35,0))-INDEX('Conversion Range'!$C$2:$C$35,MATCH(S$1,'Conversion Range'!$A$2:$A$35,0)))),3))</f>
        <v>1.595</v>
      </c>
      <c r="T7" s="15">
        <f>IF('Legend Attributes'!T7=0,0,ROUND(IF(INDEX('Conversion Range'!$E$2:$E$35,MATCH(T$1,'Conversion Range'!$A$2:$A$35,0))=1,INDEX('Conversion Range'!$D$2:$D$35,MATCH(T$1,'Conversion Range'!$A$2:$A$35,0))-(('Legend Attributes'!T7-1)/19)*(INDEX('Conversion Range'!$D$2:$D$35,MATCH(T$1,'Conversion Range'!$A$2:$A$35,0))-INDEX('Conversion Range'!$C$2:$C$35,MATCH(T$1,'Conversion Range'!$A$2:$A$35,0))),INDEX('Conversion Range'!$C$2:$C$35,MATCH(T$1,'Conversion Range'!$A$2:$A$35,0))+(('Legend Attributes'!T7-1)/19)*(INDEX('Conversion Range'!$D$2:$D$35,MATCH(T$1,'Conversion Range'!$A$2:$A$35,0))-INDEX('Conversion Range'!$C$2:$C$35,MATCH(T$1,'Conversion Range'!$A$2:$A$35,0)))),3))</f>
        <v>43.104999999999997</v>
      </c>
      <c r="U7" s="15">
        <f>IF('Legend Attributes'!U7=0,0,ROUND(IF(INDEX('Conversion Range'!$E$2:$E$35,MATCH(U$1,'Conversion Range'!$A$2:$A$35,0))=1,INDEX('Conversion Range'!$D$2:$D$35,MATCH(U$1,'Conversion Range'!$A$2:$A$35,0))-(('Legend Attributes'!U7-1)/19)*(INDEX('Conversion Range'!$D$2:$D$35,MATCH(U$1,'Conversion Range'!$A$2:$A$35,0))-INDEX('Conversion Range'!$C$2:$C$35,MATCH(U$1,'Conversion Range'!$A$2:$A$35,0))),INDEX('Conversion Range'!$C$2:$C$35,MATCH(U$1,'Conversion Range'!$A$2:$A$35,0))+(('Legend Attributes'!U7-1)/19)*(INDEX('Conversion Range'!$D$2:$D$35,MATCH(U$1,'Conversion Range'!$A$2:$A$35,0))-INDEX('Conversion Range'!$C$2:$C$35,MATCH(U$1,'Conversion Range'!$A$2:$A$35,0)))),3))</f>
        <v>1.121</v>
      </c>
      <c r="V7" s="15">
        <f>IF('Legend Attributes'!V7=0,0,ROUND(IF(INDEX('Conversion Range'!$E$2:$E$35,MATCH(V$1,'Conversion Range'!$A$2:$A$35,0))=1,INDEX('Conversion Range'!$D$2:$D$35,MATCH(V$1,'Conversion Range'!$A$2:$A$35,0))-(('Legend Attributes'!V7-1)/19)*(INDEX('Conversion Range'!$D$2:$D$35,MATCH(V$1,'Conversion Range'!$A$2:$A$35,0))-INDEX('Conversion Range'!$C$2:$C$35,MATCH(V$1,'Conversion Range'!$A$2:$A$35,0))),INDEX('Conversion Range'!$C$2:$C$35,MATCH(V$1,'Conversion Range'!$A$2:$A$35,0))+(('Legend Attributes'!V7-1)/19)*(INDEX('Conversion Range'!$D$2:$D$35,MATCH(V$1,'Conversion Range'!$A$2:$A$35,0))-INDEX('Conversion Range'!$C$2:$C$35,MATCH(V$1,'Conversion Range'!$A$2:$A$35,0)))),3))</f>
        <v>46.579000000000001</v>
      </c>
      <c r="W7" s="15">
        <f>IF('Legend Attributes'!W7=0,0,ROUND(IF(INDEX('Conversion Range'!$E$2:$E$35,MATCH(W$1,'Conversion Range'!$A$2:$A$35,0))=1,INDEX('Conversion Range'!$D$2:$D$35,MATCH(W$1,'Conversion Range'!$A$2:$A$35,0))-(('Legend Attributes'!W7-1)/19)*(INDEX('Conversion Range'!$D$2:$D$35,MATCH(W$1,'Conversion Range'!$A$2:$A$35,0))-INDEX('Conversion Range'!$C$2:$C$35,MATCH(W$1,'Conversion Range'!$A$2:$A$35,0))),INDEX('Conversion Range'!$C$2:$C$35,MATCH(W$1,'Conversion Range'!$A$2:$A$35,0))+(('Legend Attributes'!W7-1)/19)*(INDEX('Conversion Range'!$D$2:$D$35,MATCH(W$1,'Conversion Range'!$A$2:$A$35,0))-INDEX('Conversion Range'!$C$2:$C$35,MATCH(W$1,'Conversion Range'!$A$2:$A$35,0)))),3))</f>
        <v>0.36799999999999999</v>
      </c>
      <c r="X7" s="15">
        <f>IF('Legend Attributes'!X7=0,0,ROUND(IF(INDEX('Conversion Range'!$E$2:$E$35,MATCH(X$1,'Conversion Range'!$A$2:$A$35,0))=1,INDEX('Conversion Range'!$D$2:$D$35,MATCH(X$1,'Conversion Range'!$A$2:$A$35,0))-(('Legend Attributes'!X7-1)/19)*(INDEX('Conversion Range'!$D$2:$D$35,MATCH(X$1,'Conversion Range'!$A$2:$A$35,0))-INDEX('Conversion Range'!$C$2:$C$35,MATCH(X$1,'Conversion Range'!$A$2:$A$35,0))),INDEX('Conversion Range'!$C$2:$C$35,MATCH(X$1,'Conversion Range'!$A$2:$A$35,0))+(('Legend Attributes'!X7-1)/19)*(INDEX('Conversion Range'!$D$2:$D$35,MATCH(X$1,'Conversion Range'!$A$2:$A$35,0))-INDEX('Conversion Range'!$C$2:$C$35,MATCH(X$1,'Conversion Range'!$A$2:$A$35,0)))),3))</f>
        <v>0.753</v>
      </c>
      <c r="Y7" s="15">
        <f>IF('Legend Attributes'!Y7=0,0,ROUND(IF(INDEX('Conversion Range'!$E$2:$E$35,MATCH(Y$1,'Conversion Range'!$A$2:$A$35,0))=1,INDEX('Conversion Range'!$D$2:$D$35,MATCH(Y$1,'Conversion Range'!$A$2:$A$35,0))-(('Legend Attributes'!Y7-1)/19)*(INDEX('Conversion Range'!$D$2:$D$35,MATCH(Y$1,'Conversion Range'!$A$2:$A$35,0))-INDEX('Conversion Range'!$C$2:$C$35,MATCH(Y$1,'Conversion Range'!$A$2:$A$35,0))),INDEX('Conversion Range'!$C$2:$C$35,MATCH(Y$1,'Conversion Range'!$A$2:$A$35,0))+(('Legend Attributes'!Y7-1)/19)*(INDEX('Conversion Range'!$D$2:$D$35,MATCH(Y$1,'Conversion Range'!$A$2:$A$35,0))-INDEX('Conversion Range'!$C$2:$C$35,MATCH(Y$1,'Conversion Range'!$A$2:$A$35,0)))),3))</f>
        <v>0.379</v>
      </c>
      <c r="Z7" s="15">
        <f>IF('Legend Attributes'!Z7=0,0,ROUND(IF(INDEX('Conversion Range'!$E$2:$E$35,MATCH(Z$1,'Conversion Range'!$A$2:$A$35,0))=1,INDEX('Conversion Range'!$D$2:$D$35,MATCH(Z$1,'Conversion Range'!$A$2:$A$35,0))-(('Legend Attributes'!Z7-1)/19)*(INDEX('Conversion Range'!$D$2:$D$35,MATCH(Z$1,'Conversion Range'!$A$2:$A$35,0))-INDEX('Conversion Range'!$C$2:$C$35,MATCH(Z$1,'Conversion Range'!$A$2:$A$35,0))),INDEX('Conversion Range'!$C$2:$C$35,MATCH(Z$1,'Conversion Range'!$A$2:$A$35,0))+(('Legend Attributes'!Z7-1)/19)*(INDEX('Conversion Range'!$D$2:$D$35,MATCH(Z$1,'Conversion Range'!$A$2:$A$35,0))-INDEX('Conversion Range'!$C$2:$C$35,MATCH(Z$1,'Conversion Range'!$A$2:$A$35,0)))),3))</f>
        <v>10.737</v>
      </c>
      <c r="AA7" s="15">
        <f>IF('Legend Attributes'!AA7=0,0,ROUND(IF(INDEX('Conversion Range'!$E$2:$E$35,MATCH(AA$1,'Conversion Range'!$A$2:$A$35,0))=1,INDEX('Conversion Range'!$D$2:$D$35,MATCH(AA$1,'Conversion Range'!$A$2:$A$35,0))-(('Legend Attributes'!AA7-1)/19)*(INDEX('Conversion Range'!$D$2:$D$35,MATCH(AA$1,'Conversion Range'!$A$2:$A$35,0))-INDEX('Conversion Range'!$C$2:$C$35,MATCH(AA$1,'Conversion Range'!$A$2:$A$35,0))),INDEX('Conversion Range'!$C$2:$C$35,MATCH(AA$1,'Conversion Range'!$A$2:$A$35,0))+(('Legend Attributes'!AA7-1)/19)*(INDEX('Conversion Range'!$D$2:$D$35,MATCH(AA$1,'Conversion Range'!$A$2:$A$35,0))-INDEX('Conversion Range'!$C$2:$C$35,MATCH(AA$1,'Conversion Range'!$A$2:$A$35,0)))),3))</f>
        <v>0.221</v>
      </c>
      <c r="AB7" s="15">
        <f>IF('Legend Attributes'!AB7=0,0,ROUND(IF(INDEX('Conversion Range'!$E$2:$E$35,MATCH(AB$1,'Conversion Range'!$A$2:$A$35,0))=1,INDEX('Conversion Range'!$D$2:$D$35,MATCH(AB$1,'Conversion Range'!$A$2:$A$35,0))-(('Legend Attributes'!AB7-1)/19)*(INDEX('Conversion Range'!$D$2:$D$35,MATCH(AB$1,'Conversion Range'!$A$2:$A$35,0))-INDEX('Conversion Range'!$C$2:$C$35,MATCH(AB$1,'Conversion Range'!$A$2:$A$35,0))),INDEX('Conversion Range'!$C$2:$C$35,MATCH(AB$1,'Conversion Range'!$A$2:$A$35,0))+(('Legend Attributes'!AB7-1)/19)*(INDEX('Conversion Range'!$D$2:$D$35,MATCH(AB$1,'Conversion Range'!$A$2:$A$35,0))-INDEX('Conversion Range'!$C$2:$C$35,MATCH(AB$1,'Conversion Range'!$A$2:$A$35,0)))),3))</f>
        <v>0.85499999999999998</v>
      </c>
      <c r="AC7" s="15">
        <f>IF('Legend Attributes'!AC7=0,0,ROUND(IF(INDEX('Conversion Range'!$E$2:$E$35,MATCH(AC$1,'Conversion Range'!$A$2:$A$35,0))=1,INDEX('Conversion Range'!$D$2:$D$35,MATCH(AC$1,'Conversion Range'!$A$2:$A$35,0))-(('Legend Attributes'!AC7-1)/19)*(INDEX('Conversion Range'!$D$2:$D$35,MATCH(AC$1,'Conversion Range'!$A$2:$A$35,0))-INDEX('Conversion Range'!$C$2:$C$35,MATCH(AC$1,'Conversion Range'!$A$2:$A$35,0))),INDEX('Conversion Range'!$C$2:$C$35,MATCH(AC$1,'Conversion Range'!$A$2:$A$35,0))+(('Legend Attributes'!AC7-1)/19)*(INDEX('Conversion Range'!$D$2:$D$35,MATCH(AC$1,'Conversion Range'!$A$2:$A$35,0))-INDEX('Conversion Range'!$C$2:$C$35,MATCH(AC$1,'Conversion Range'!$A$2:$A$35,0)))),3))</f>
        <v>0.35799999999999998</v>
      </c>
      <c r="AD7" s="15">
        <f>IF('Legend Attributes'!AD7=0,0,ROUND(IF(INDEX('Conversion Range'!$E$2:$E$35,MATCH(AD$1,'Conversion Range'!$A$2:$A$35,0))=1,INDEX('Conversion Range'!$D$2:$D$35,MATCH(AD$1,'Conversion Range'!$A$2:$A$35,0))-(('Legend Attributes'!AD7-1)/19)*(INDEX('Conversion Range'!$D$2:$D$35,MATCH(AD$1,'Conversion Range'!$A$2:$A$35,0))-INDEX('Conversion Range'!$C$2:$C$35,MATCH(AD$1,'Conversion Range'!$A$2:$A$35,0))),INDEX('Conversion Range'!$C$2:$C$35,MATCH(AD$1,'Conversion Range'!$A$2:$A$35,0))+(('Legend Attributes'!AD7-1)/19)*(INDEX('Conversion Range'!$D$2:$D$35,MATCH(AD$1,'Conversion Range'!$A$2:$A$35,0))-INDEX('Conversion Range'!$C$2:$C$35,MATCH(AD$1,'Conversion Range'!$A$2:$A$35,0)))),3))</f>
        <v>0</v>
      </c>
      <c r="AE7" s="15">
        <f>IF('Legend Attributes'!AE7=0,0,ROUND(IF(INDEX('Conversion Range'!$E$2:$E$35,MATCH(AE$1,'Conversion Range'!$A$2:$A$35,0))=1,INDEX('Conversion Range'!$D$2:$D$35,MATCH(AE$1,'Conversion Range'!$A$2:$A$35,0))-(('Legend Attributes'!AE7-1)/19)*(INDEX('Conversion Range'!$D$2:$D$35,MATCH(AE$1,'Conversion Range'!$A$2:$A$35,0))-INDEX('Conversion Range'!$C$2:$C$35,MATCH(AE$1,'Conversion Range'!$A$2:$A$35,0))),INDEX('Conversion Range'!$C$2:$C$35,MATCH(AE$1,'Conversion Range'!$A$2:$A$35,0))+(('Legend Attributes'!AE7-1)/19)*(INDEX('Conversion Range'!$D$2:$D$35,MATCH(AE$1,'Conversion Range'!$A$2:$A$35,0))-INDEX('Conversion Range'!$C$2:$C$35,MATCH(AE$1,'Conversion Range'!$A$2:$A$35,0)))),3))</f>
        <v>0</v>
      </c>
      <c r="AF7" s="15">
        <f>IF('Legend Attributes'!AF7=0,0,ROUND(IF(INDEX('Conversion Range'!$E$2:$E$35,MATCH(AF$1,'Conversion Range'!$A$2:$A$35,0))=1,INDEX('Conversion Range'!$D$2:$D$35,MATCH(AF$1,'Conversion Range'!$A$2:$A$35,0))-(('Legend Attributes'!AF7-1)/19)*(INDEX('Conversion Range'!$D$2:$D$35,MATCH(AF$1,'Conversion Range'!$A$2:$A$35,0))-INDEX('Conversion Range'!$C$2:$C$35,MATCH(AF$1,'Conversion Range'!$A$2:$A$35,0))),INDEX('Conversion Range'!$C$2:$C$35,MATCH(AF$1,'Conversion Range'!$A$2:$A$35,0))+(('Legend Attributes'!AF7-1)/19)*(INDEX('Conversion Range'!$D$2:$D$35,MATCH(AF$1,'Conversion Range'!$A$2:$A$35,0))-INDEX('Conversion Range'!$C$2:$C$35,MATCH(AF$1,'Conversion Range'!$A$2:$A$35,0)))),3))</f>
        <v>0</v>
      </c>
      <c r="AG7" s="15">
        <f>IF('Legend Attributes'!AG7=0,0,ROUND(IF(INDEX('Conversion Range'!$E$2:$E$35,MATCH(AG$1,'Conversion Range'!$A$2:$A$35,0))=1,INDEX('Conversion Range'!$D$2:$D$35,MATCH(AG$1,'Conversion Range'!$A$2:$A$35,0))-(('Legend Attributes'!AG7-1)/19)*(INDEX('Conversion Range'!$D$2:$D$35,MATCH(AG$1,'Conversion Range'!$A$2:$A$35,0))-INDEX('Conversion Range'!$C$2:$C$35,MATCH(AG$1,'Conversion Range'!$A$2:$A$35,0))),INDEX('Conversion Range'!$C$2:$C$35,MATCH(AG$1,'Conversion Range'!$A$2:$A$35,0))+(('Legend Attributes'!AG7-1)/19)*(INDEX('Conversion Range'!$D$2:$D$35,MATCH(AG$1,'Conversion Range'!$A$2:$A$35,0))-INDEX('Conversion Range'!$C$2:$C$35,MATCH(AG$1,'Conversion Range'!$A$2:$A$35,0)))),3))</f>
        <v>0.89500000000000002</v>
      </c>
      <c r="AH7" s="15">
        <f>IF('Legend Attributes'!AH7=0,0,ROUND(IF(INDEX('Conversion Range'!$E$2:$E$35,MATCH(AH$1,'Conversion Range'!$A$2:$A$35,0))=1,INDEX('Conversion Range'!$D$2:$D$35,MATCH(AH$1,'Conversion Range'!$A$2:$A$35,0))-(('Legend Attributes'!AH7-1)/19)*(INDEX('Conversion Range'!$D$2:$D$35,MATCH(AH$1,'Conversion Range'!$A$2:$A$35,0))-INDEX('Conversion Range'!$C$2:$C$35,MATCH(AH$1,'Conversion Range'!$A$2:$A$35,0))),INDEX('Conversion Range'!$C$2:$C$35,MATCH(AH$1,'Conversion Range'!$A$2:$A$35,0))+(('Legend Attributes'!AH7-1)/19)*(INDEX('Conversion Range'!$D$2:$D$35,MATCH(AH$1,'Conversion Range'!$A$2:$A$35,0))-INDEX('Conversion Range'!$C$2:$C$35,MATCH(AH$1,'Conversion Range'!$A$2:$A$35,0)))),3))</f>
        <v>0.246</v>
      </c>
      <c r="AI7" s="15">
        <f>IF('Legend Attributes'!AI7=0,0,ROUND(IF(INDEX('Conversion Range'!$E$2:$E$35,MATCH(AI$1,'Conversion Range'!$A$2:$A$35,0))=1,INDEX('Conversion Range'!$D$2:$D$35,MATCH(AI$1,'Conversion Range'!$A$2:$A$35,0))-(('Legend Attributes'!AI7-1)/19)*(INDEX('Conversion Range'!$D$2:$D$35,MATCH(AI$1,'Conversion Range'!$A$2:$A$35,0))-INDEX('Conversion Range'!$C$2:$C$35,MATCH(AI$1,'Conversion Range'!$A$2:$A$35,0))),INDEX('Conversion Range'!$C$2:$C$35,MATCH(AI$1,'Conversion Range'!$A$2:$A$35,0))+(('Legend Attributes'!AI7-1)/19)*(INDEX('Conversion Range'!$D$2:$D$35,MATCH(AI$1,'Conversion Range'!$A$2:$A$35,0))-INDEX('Conversion Range'!$C$2:$C$35,MATCH(AI$1,'Conversion Range'!$A$2:$A$35,0)))),3))</f>
        <v>7.5999999999999998E-2</v>
      </c>
      <c r="AJ7" s="15">
        <f>IF('Legend Attributes'!AJ7=0,0,ROUND(IF(INDEX('Conversion Range'!$E$2:$E$35,MATCH(AJ$1,'Conversion Range'!$A$2:$A$35,0))=1,INDEX('Conversion Range'!$D$2:$D$35,MATCH(AJ$1,'Conversion Range'!$A$2:$A$35,0))-(('Legend Attributes'!AJ7-1)/19)*(INDEX('Conversion Range'!$D$2:$D$35,MATCH(AJ$1,'Conversion Range'!$A$2:$A$35,0))-INDEX('Conversion Range'!$C$2:$C$35,MATCH(AJ$1,'Conversion Range'!$A$2:$A$35,0))),INDEX('Conversion Range'!$C$2:$C$35,MATCH(AJ$1,'Conversion Range'!$A$2:$A$35,0))+(('Legend Attributes'!AJ7-1)/19)*(INDEX('Conversion Range'!$D$2:$D$35,MATCH(AJ$1,'Conversion Range'!$A$2:$A$35,0))-INDEX('Conversion Range'!$C$2:$C$35,MATCH(AJ$1,'Conversion Range'!$A$2:$A$35,0)))),3))</f>
        <v>8.0109999999999992</v>
      </c>
    </row>
    <row r="8" spans="1:36" x14ac:dyDescent="0.35">
      <c r="A8" s="14" t="str">
        <f>'Legend Attributes'!A8</f>
        <v>Gareth Bale</v>
      </c>
      <c r="B8" s="15" t="str">
        <f>'Legend Attributes'!B8</f>
        <v>W</v>
      </c>
      <c r="C8" s="15">
        <f>IF('Legend Attributes'!C8=0,0,ROUND(IF(INDEX('Conversion Range'!$E$2:$E$35,MATCH(C$1,'Conversion Range'!$A$2:$A$35,0))=1,INDEX('Conversion Range'!$D$2:$D$35,MATCH(C$1,'Conversion Range'!$A$2:$A$35,0))-(('Legend Attributes'!C8-1)/19)*(INDEX('Conversion Range'!$D$2:$D$35,MATCH(C$1,'Conversion Range'!$A$2:$A$35,0))-INDEX('Conversion Range'!$C$2:$C$35,MATCH(C$1,'Conversion Range'!$A$2:$A$35,0))),INDEX('Conversion Range'!$C$2:$C$35,MATCH(C$1,'Conversion Range'!$A$2:$A$35,0))+(('Legend Attributes'!C8-1)/19)*(INDEX('Conversion Range'!$D$2:$D$35,MATCH(C$1,'Conversion Range'!$A$2:$A$35,0))-INDEX('Conversion Range'!$C$2:$C$35,MATCH(C$1,'Conversion Range'!$A$2:$A$35,0)))),3))</f>
        <v>0.67500000000000004</v>
      </c>
      <c r="D8" s="15">
        <f>IF('Legend Attributes'!D8=0,0,ROUND(IF(INDEX('Conversion Range'!$E$2:$E$35,MATCH(D$1,'Conversion Range'!$A$2:$A$35,0))=1,INDEX('Conversion Range'!$D$2:$D$35,MATCH(D$1,'Conversion Range'!$A$2:$A$35,0))-(('Legend Attributes'!D8-1)/19)*(INDEX('Conversion Range'!$D$2:$D$35,MATCH(D$1,'Conversion Range'!$A$2:$A$35,0))-INDEX('Conversion Range'!$C$2:$C$35,MATCH(D$1,'Conversion Range'!$A$2:$A$35,0))),INDEX('Conversion Range'!$C$2:$C$35,MATCH(D$1,'Conversion Range'!$A$2:$A$35,0))+(('Legend Attributes'!D8-1)/19)*(INDEX('Conversion Range'!$D$2:$D$35,MATCH(D$1,'Conversion Range'!$A$2:$A$35,0))-INDEX('Conversion Range'!$C$2:$C$35,MATCH(D$1,'Conversion Range'!$A$2:$A$35,0)))),3))</f>
        <v>0.59599999999999997</v>
      </c>
      <c r="E8" s="15">
        <f>IF('Legend Attributes'!E8=0,0,ROUND(IF(INDEX('Conversion Range'!$E$2:$E$35,MATCH(E$1,'Conversion Range'!$A$2:$A$35,0))=1,INDEX('Conversion Range'!$D$2:$D$35,MATCH(E$1,'Conversion Range'!$A$2:$A$35,0))-(('Legend Attributes'!E8-1)/19)*(INDEX('Conversion Range'!$D$2:$D$35,MATCH(E$1,'Conversion Range'!$A$2:$A$35,0))-INDEX('Conversion Range'!$C$2:$C$35,MATCH(E$1,'Conversion Range'!$A$2:$A$35,0))),INDEX('Conversion Range'!$C$2:$C$35,MATCH(E$1,'Conversion Range'!$A$2:$A$35,0))+(('Legend Attributes'!E8-1)/19)*(INDEX('Conversion Range'!$D$2:$D$35,MATCH(E$1,'Conversion Range'!$A$2:$A$35,0))-INDEX('Conversion Range'!$C$2:$C$35,MATCH(E$1,'Conversion Range'!$A$2:$A$35,0)))),3))</f>
        <v>0.26600000000000001</v>
      </c>
      <c r="F8" s="15">
        <f>IF('Legend Attributes'!F8=0,0,ROUND(IF(INDEX('Conversion Range'!$E$2:$E$35,MATCH(F$1,'Conversion Range'!$A$2:$A$35,0))=1,INDEX('Conversion Range'!$D$2:$D$35,MATCH(F$1,'Conversion Range'!$A$2:$A$35,0))-(('Legend Attributes'!F8-1)/19)*(INDEX('Conversion Range'!$D$2:$D$35,MATCH(F$1,'Conversion Range'!$A$2:$A$35,0))-INDEX('Conversion Range'!$C$2:$C$35,MATCH(F$1,'Conversion Range'!$A$2:$A$35,0))),INDEX('Conversion Range'!$C$2:$C$35,MATCH(F$1,'Conversion Range'!$A$2:$A$35,0))+(('Legend Attributes'!F8-1)/19)*(INDEX('Conversion Range'!$D$2:$D$35,MATCH(F$1,'Conversion Range'!$A$2:$A$35,0))-INDEX('Conversion Range'!$C$2:$C$35,MATCH(F$1,'Conversion Range'!$A$2:$A$35,0)))),3))</f>
        <v>3.1890000000000001</v>
      </c>
      <c r="G8" s="15">
        <f>IF('Legend Attributes'!G8=0,0,ROUND(IF(INDEX('Conversion Range'!$E$2:$E$35,MATCH(G$1,'Conversion Range'!$A$2:$A$35,0))=1,INDEX('Conversion Range'!$D$2:$D$35,MATCH(G$1,'Conversion Range'!$A$2:$A$35,0))-(('Legend Attributes'!G8-1)/19)*(INDEX('Conversion Range'!$D$2:$D$35,MATCH(G$1,'Conversion Range'!$A$2:$A$35,0))-INDEX('Conversion Range'!$C$2:$C$35,MATCH(G$1,'Conversion Range'!$A$2:$A$35,0))),INDEX('Conversion Range'!$C$2:$C$35,MATCH(G$1,'Conversion Range'!$A$2:$A$35,0))+(('Legend Attributes'!G8-1)/19)*(INDEX('Conversion Range'!$D$2:$D$35,MATCH(G$1,'Conversion Range'!$A$2:$A$35,0))-INDEX('Conversion Range'!$C$2:$C$35,MATCH(G$1,'Conversion Range'!$A$2:$A$35,0)))),3))</f>
        <v>1.716</v>
      </c>
      <c r="H8" s="15">
        <f>IF('Legend Attributes'!H8=0,0,ROUND(IF(INDEX('Conversion Range'!$E$2:$E$35,MATCH(H$1,'Conversion Range'!$A$2:$A$35,0))=1,INDEX('Conversion Range'!$D$2:$D$35,MATCH(H$1,'Conversion Range'!$A$2:$A$35,0))-(('Legend Attributes'!H8-1)/19)*(INDEX('Conversion Range'!$D$2:$D$35,MATCH(H$1,'Conversion Range'!$A$2:$A$35,0))-INDEX('Conversion Range'!$C$2:$C$35,MATCH(H$1,'Conversion Range'!$A$2:$A$35,0))),INDEX('Conversion Range'!$C$2:$C$35,MATCH(H$1,'Conversion Range'!$A$2:$A$35,0))+(('Legend Attributes'!H8-1)/19)*(INDEX('Conversion Range'!$D$2:$D$35,MATCH(H$1,'Conversion Range'!$A$2:$A$35,0))-INDEX('Conversion Range'!$C$2:$C$35,MATCH(H$1,'Conversion Range'!$A$2:$A$35,0)))),3))</f>
        <v>0.84199999999999997</v>
      </c>
      <c r="I8" s="15">
        <f>IF('Legend Attributes'!I8=0,0,ROUND(IF(INDEX('Conversion Range'!$E$2:$E$35,MATCH(I$1,'Conversion Range'!$A$2:$A$35,0))=1,INDEX('Conversion Range'!$D$2:$D$35,MATCH(I$1,'Conversion Range'!$A$2:$A$35,0))-(('Legend Attributes'!I8-1)/19)*(INDEX('Conversion Range'!$D$2:$D$35,MATCH(I$1,'Conversion Range'!$A$2:$A$35,0))-INDEX('Conversion Range'!$C$2:$C$35,MATCH(I$1,'Conversion Range'!$A$2:$A$35,0))),INDEX('Conversion Range'!$C$2:$C$35,MATCH(I$1,'Conversion Range'!$A$2:$A$35,0))+(('Legend Attributes'!I8-1)/19)*(INDEX('Conversion Range'!$D$2:$D$35,MATCH(I$1,'Conversion Range'!$A$2:$A$35,0))-INDEX('Conversion Range'!$C$2:$C$35,MATCH(I$1,'Conversion Range'!$A$2:$A$35,0)))),3))</f>
        <v>1.0209999999999999</v>
      </c>
      <c r="J8" s="15">
        <f>IF('Legend Attributes'!J8=0,0,ROUND(IF(INDEX('Conversion Range'!$E$2:$E$35,MATCH(J$1,'Conversion Range'!$A$2:$A$35,0))=1,INDEX('Conversion Range'!$D$2:$D$35,MATCH(J$1,'Conversion Range'!$A$2:$A$35,0))-(('Legend Attributes'!J8-1)/19)*(INDEX('Conversion Range'!$D$2:$D$35,MATCH(J$1,'Conversion Range'!$A$2:$A$35,0))-INDEX('Conversion Range'!$C$2:$C$35,MATCH(J$1,'Conversion Range'!$A$2:$A$35,0))),INDEX('Conversion Range'!$C$2:$C$35,MATCH(J$1,'Conversion Range'!$A$2:$A$35,0))+(('Legend Attributes'!J8-1)/19)*(INDEX('Conversion Range'!$D$2:$D$35,MATCH(J$1,'Conversion Range'!$A$2:$A$35,0))-INDEX('Conversion Range'!$C$2:$C$35,MATCH(J$1,'Conversion Range'!$A$2:$A$35,0)))),3))</f>
        <v>0.85299999999999998</v>
      </c>
      <c r="K8" s="15">
        <f>IF('Legend Attributes'!K8=0,0,ROUND(IF(INDEX('Conversion Range'!$E$2:$E$35,MATCH(K$1,'Conversion Range'!$A$2:$A$35,0))=1,INDEX('Conversion Range'!$D$2:$D$35,MATCH(K$1,'Conversion Range'!$A$2:$A$35,0))-(('Legend Attributes'!K8-1)/19)*(INDEX('Conversion Range'!$D$2:$D$35,MATCH(K$1,'Conversion Range'!$A$2:$A$35,0))-INDEX('Conversion Range'!$C$2:$C$35,MATCH(K$1,'Conversion Range'!$A$2:$A$35,0))),INDEX('Conversion Range'!$C$2:$C$35,MATCH(K$1,'Conversion Range'!$A$2:$A$35,0))+(('Legend Attributes'!K8-1)/19)*(INDEX('Conversion Range'!$D$2:$D$35,MATCH(K$1,'Conversion Range'!$A$2:$A$35,0))-INDEX('Conversion Range'!$C$2:$C$35,MATCH(K$1,'Conversion Range'!$A$2:$A$35,0)))),3))</f>
        <v>0.56299999999999994</v>
      </c>
      <c r="L8" s="15">
        <f>IF('Legend Attributes'!L8=0,0,ROUND(IF(INDEX('Conversion Range'!$E$2:$E$35,MATCH(L$1,'Conversion Range'!$A$2:$A$35,0))=1,INDEX('Conversion Range'!$D$2:$D$35,MATCH(L$1,'Conversion Range'!$A$2:$A$35,0))-(('Legend Attributes'!L8-1)/19)*(INDEX('Conversion Range'!$D$2:$D$35,MATCH(L$1,'Conversion Range'!$A$2:$A$35,0))-INDEX('Conversion Range'!$C$2:$C$35,MATCH(L$1,'Conversion Range'!$A$2:$A$35,0))),INDEX('Conversion Range'!$C$2:$C$35,MATCH(L$1,'Conversion Range'!$A$2:$A$35,0))+(('Legend Attributes'!L8-1)/19)*(INDEX('Conversion Range'!$D$2:$D$35,MATCH(L$1,'Conversion Range'!$A$2:$A$35,0))-INDEX('Conversion Range'!$C$2:$C$35,MATCH(L$1,'Conversion Range'!$A$2:$A$35,0)))),3))</f>
        <v>0</v>
      </c>
      <c r="M8" s="15">
        <f>IF('Legend Attributes'!M8=0,0,ROUND(IF(INDEX('Conversion Range'!$E$2:$E$35,MATCH(M$1,'Conversion Range'!$A$2:$A$35,0))=1,INDEX('Conversion Range'!$D$2:$D$35,MATCH(M$1,'Conversion Range'!$A$2:$A$35,0))-(('Legend Attributes'!M8-1)/19)*(INDEX('Conversion Range'!$D$2:$D$35,MATCH(M$1,'Conversion Range'!$A$2:$A$35,0))-INDEX('Conversion Range'!$C$2:$C$35,MATCH(M$1,'Conversion Range'!$A$2:$A$35,0))),INDEX('Conversion Range'!$C$2:$C$35,MATCH(M$1,'Conversion Range'!$A$2:$A$35,0))+(('Legend Attributes'!M8-1)/19)*(INDEX('Conversion Range'!$D$2:$D$35,MATCH(M$1,'Conversion Range'!$A$2:$A$35,0))-INDEX('Conversion Range'!$C$2:$C$35,MATCH(M$1,'Conversion Range'!$A$2:$A$35,0)))),3))</f>
        <v>8.4000000000000005E-2</v>
      </c>
      <c r="N8" s="15">
        <f>IF('Legend Attributes'!N8=0,0,ROUND(IF(INDEX('Conversion Range'!$E$2:$E$35,MATCH(N$1,'Conversion Range'!$A$2:$A$35,0))=1,INDEX('Conversion Range'!$D$2:$D$35,MATCH(N$1,'Conversion Range'!$A$2:$A$35,0))-(('Legend Attributes'!N8-1)/19)*(INDEX('Conversion Range'!$D$2:$D$35,MATCH(N$1,'Conversion Range'!$A$2:$A$35,0))-INDEX('Conversion Range'!$C$2:$C$35,MATCH(N$1,'Conversion Range'!$A$2:$A$35,0))),INDEX('Conversion Range'!$C$2:$C$35,MATCH(N$1,'Conversion Range'!$A$2:$A$35,0))+(('Legend Attributes'!N8-1)/19)*(INDEX('Conversion Range'!$D$2:$D$35,MATCH(N$1,'Conversion Range'!$A$2:$A$35,0))-INDEX('Conversion Range'!$C$2:$C$35,MATCH(N$1,'Conversion Range'!$A$2:$A$35,0)))),3))</f>
        <v>3.9740000000000002</v>
      </c>
      <c r="O8" s="15">
        <f>IF('Legend Attributes'!O8=0,0,ROUND(IF(INDEX('Conversion Range'!$E$2:$E$35,MATCH(O$1,'Conversion Range'!$A$2:$A$35,0))=1,INDEX('Conversion Range'!$D$2:$D$35,MATCH(O$1,'Conversion Range'!$A$2:$A$35,0))-(('Legend Attributes'!O8-1)/19)*(INDEX('Conversion Range'!$D$2:$D$35,MATCH(O$1,'Conversion Range'!$A$2:$A$35,0))-INDEX('Conversion Range'!$C$2:$C$35,MATCH(O$1,'Conversion Range'!$A$2:$A$35,0))),INDEX('Conversion Range'!$C$2:$C$35,MATCH(O$1,'Conversion Range'!$A$2:$A$35,0))+(('Legend Attributes'!O8-1)/19)*(INDEX('Conversion Range'!$D$2:$D$35,MATCH(O$1,'Conversion Range'!$A$2:$A$35,0))-INDEX('Conversion Range'!$C$2:$C$35,MATCH(O$1,'Conversion Range'!$A$2:$A$35,0)))),3))</f>
        <v>1.895</v>
      </c>
      <c r="P8" s="15">
        <f>IF('Legend Attributes'!P8=0,0,ROUND(IF(INDEX('Conversion Range'!$E$2:$E$35,MATCH(P$1,'Conversion Range'!$A$2:$A$35,0))=1,INDEX('Conversion Range'!$D$2:$D$35,MATCH(P$1,'Conversion Range'!$A$2:$A$35,0))-(('Legend Attributes'!P8-1)/19)*(INDEX('Conversion Range'!$D$2:$D$35,MATCH(P$1,'Conversion Range'!$A$2:$A$35,0))-INDEX('Conversion Range'!$C$2:$C$35,MATCH(P$1,'Conversion Range'!$A$2:$A$35,0))),INDEX('Conversion Range'!$C$2:$C$35,MATCH(P$1,'Conversion Range'!$A$2:$A$35,0))+(('Legend Attributes'!P8-1)/19)*(INDEX('Conversion Range'!$D$2:$D$35,MATCH(P$1,'Conversion Range'!$A$2:$A$35,0))-INDEX('Conversion Range'!$C$2:$C$35,MATCH(P$1,'Conversion Range'!$A$2:$A$35,0)))),3))</f>
        <v>61.841999999999999</v>
      </c>
      <c r="Q8" s="15">
        <f>IF('Legend Attributes'!Q8=0,0,ROUND(IF(INDEX('Conversion Range'!$E$2:$E$35,MATCH(Q$1,'Conversion Range'!$A$2:$A$35,0))=1,INDEX('Conversion Range'!$D$2:$D$35,MATCH(Q$1,'Conversion Range'!$A$2:$A$35,0))-(('Legend Attributes'!Q8-1)/19)*(INDEX('Conversion Range'!$D$2:$D$35,MATCH(Q$1,'Conversion Range'!$A$2:$A$35,0))-INDEX('Conversion Range'!$C$2:$C$35,MATCH(Q$1,'Conversion Range'!$A$2:$A$35,0))),INDEX('Conversion Range'!$C$2:$C$35,MATCH(Q$1,'Conversion Range'!$A$2:$A$35,0))+(('Legend Attributes'!Q8-1)/19)*(INDEX('Conversion Range'!$D$2:$D$35,MATCH(Q$1,'Conversion Range'!$A$2:$A$35,0))-INDEX('Conversion Range'!$C$2:$C$35,MATCH(Q$1,'Conversion Range'!$A$2:$A$35,0)))),3))</f>
        <v>57.579000000000001</v>
      </c>
      <c r="R8" s="15">
        <f>IF('Legend Attributes'!R8=0,0,ROUND(IF(INDEX('Conversion Range'!$E$2:$E$35,MATCH(R$1,'Conversion Range'!$A$2:$A$35,0))=1,INDEX('Conversion Range'!$D$2:$D$35,MATCH(R$1,'Conversion Range'!$A$2:$A$35,0))-(('Legend Attributes'!R8-1)/19)*(INDEX('Conversion Range'!$D$2:$D$35,MATCH(R$1,'Conversion Range'!$A$2:$A$35,0))-INDEX('Conversion Range'!$C$2:$C$35,MATCH(R$1,'Conversion Range'!$A$2:$A$35,0))),INDEX('Conversion Range'!$C$2:$C$35,MATCH(R$1,'Conversion Range'!$A$2:$A$35,0))+(('Legend Attributes'!R8-1)/19)*(INDEX('Conversion Range'!$D$2:$D$35,MATCH(R$1,'Conversion Range'!$A$2:$A$35,0))-INDEX('Conversion Range'!$C$2:$C$35,MATCH(R$1,'Conversion Range'!$A$2:$A$35,0)))),3))</f>
        <v>78.158000000000001</v>
      </c>
      <c r="S8" s="15">
        <f>IF('Legend Attributes'!S8=0,0,ROUND(IF(INDEX('Conversion Range'!$E$2:$E$35,MATCH(S$1,'Conversion Range'!$A$2:$A$35,0))=1,INDEX('Conversion Range'!$D$2:$D$35,MATCH(S$1,'Conversion Range'!$A$2:$A$35,0))-(('Legend Attributes'!S8-1)/19)*(INDEX('Conversion Range'!$D$2:$D$35,MATCH(S$1,'Conversion Range'!$A$2:$A$35,0))-INDEX('Conversion Range'!$C$2:$C$35,MATCH(S$1,'Conversion Range'!$A$2:$A$35,0))),INDEX('Conversion Range'!$C$2:$C$35,MATCH(S$1,'Conversion Range'!$A$2:$A$35,0))+(('Legend Attributes'!S8-1)/19)*(INDEX('Conversion Range'!$D$2:$D$35,MATCH(S$1,'Conversion Range'!$A$2:$A$35,0))-INDEX('Conversion Range'!$C$2:$C$35,MATCH(S$1,'Conversion Range'!$A$2:$A$35,0)))),3))</f>
        <v>1.595</v>
      </c>
      <c r="T8" s="15">
        <f>IF('Legend Attributes'!T8=0,0,ROUND(IF(INDEX('Conversion Range'!$E$2:$E$35,MATCH(T$1,'Conversion Range'!$A$2:$A$35,0))=1,INDEX('Conversion Range'!$D$2:$D$35,MATCH(T$1,'Conversion Range'!$A$2:$A$35,0))-(('Legend Attributes'!T8-1)/19)*(INDEX('Conversion Range'!$D$2:$D$35,MATCH(T$1,'Conversion Range'!$A$2:$A$35,0))-INDEX('Conversion Range'!$C$2:$C$35,MATCH(T$1,'Conversion Range'!$A$2:$A$35,0))),INDEX('Conversion Range'!$C$2:$C$35,MATCH(T$1,'Conversion Range'!$A$2:$A$35,0))+(('Legend Attributes'!T8-1)/19)*(INDEX('Conversion Range'!$D$2:$D$35,MATCH(T$1,'Conversion Range'!$A$2:$A$35,0))-INDEX('Conversion Range'!$C$2:$C$35,MATCH(T$1,'Conversion Range'!$A$2:$A$35,0)))),3))</f>
        <v>43.104999999999997</v>
      </c>
      <c r="U8" s="15">
        <f>IF('Legend Attributes'!U8=0,0,ROUND(IF(INDEX('Conversion Range'!$E$2:$E$35,MATCH(U$1,'Conversion Range'!$A$2:$A$35,0))=1,INDEX('Conversion Range'!$D$2:$D$35,MATCH(U$1,'Conversion Range'!$A$2:$A$35,0))-(('Legend Attributes'!U8-1)/19)*(INDEX('Conversion Range'!$D$2:$D$35,MATCH(U$1,'Conversion Range'!$A$2:$A$35,0))-INDEX('Conversion Range'!$C$2:$C$35,MATCH(U$1,'Conversion Range'!$A$2:$A$35,0))),INDEX('Conversion Range'!$C$2:$C$35,MATCH(U$1,'Conversion Range'!$A$2:$A$35,0))+(('Legend Attributes'!U8-1)/19)*(INDEX('Conversion Range'!$D$2:$D$35,MATCH(U$1,'Conversion Range'!$A$2:$A$35,0))-INDEX('Conversion Range'!$C$2:$C$35,MATCH(U$1,'Conversion Range'!$A$2:$A$35,0)))),3))</f>
        <v>3.0369999999999999</v>
      </c>
      <c r="V8" s="15">
        <f>IF('Legend Attributes'!V8=0,0,ROUND(IF(INDEX('Conversion Range'!$E$2:$E$35,MATCH(V$1,'Conversion Range'!$A$2:$A$35,0))=1,INDEX('Conversion Range'!$D$2:$D$35,MATCH(V$1,'Conversion Range'!$A$2:$A$35,0))-(('Legend Attributes'!V8-1)/19)*(INDEX('Conversion Range'!$D$2:$D$35,MATCH(V$1,'Conversion Range'!$A$2:$A$35,0))-INDEX('Conversion Range'!$C$2:$C$35,MATCH(V$1,'Conversion Range'!$A$2:$A$35,0))),INDEX('Conversion Range'!$C$2:$C$35,MATCH(V$1,'Conversion Range'!$A$2:$A$35,0))+(('Legend Attributes'!V8-1)/19)*(INDEX('Conversion Range'!$D$2:$D$35,MATCH(V$1,'Conversion Range'!$A$2:$A$35,0))-INDEX('Conversion Range'!$C$2:$C$35,MATCH(V$1,'Conversion Range'!$A$2:$A$35,0)))),3))</f>
        <v>56.052999999999997</v>
      </c>
      <c r="W8" s="15">
        <f>IF('Legend Attributes'!W8=0,0,ROUND(IF(INDEX('Conversion Range'!$E$2:$E$35,MATCH(W$1,'Conversion Range'!$A$2:$A$35,0))=1,INDEX('Conversion Range'!$D$2:$D$35,MATCH(W$1,'Conversion Range'!$A$2:$A$35,0))-(('Legend Attributes'!W8-1)/19)*(INDEX('Conversion Range'!$D$2:$D$35,MATCH(W$1,'Conversion Range'!$A$2:$A$35,0))-INDEX('Conversion Range'!$C$2:$C$35,MATCH(W$1,'Conversion Range'!$A$2:$A$35,0))),INDEX('Conversion Range'!$C$2:$C$35,MATCH(W$1,'Conversion Range'!$A$2:$A$35,0))+(('Legend Attributes'!W8-1)/19)*(INDEX('Conversion Range'!$D$2:$D$35,MATCH(W$1,'Conversion Range'!$A$2:$A$35,0))-INDEX('Conversion Range'!$C$2:$C$35,MATCH(W$1,'Conversion Range'!$A$2:$A$35,0)))),3))</f>
        <v>0.21099999999999999</v>
      </c>
      <c r="X8" s="15">
        <f>IF('Legend Attributes'!X8=0,0,ROUND(IF(INDEX('Conversion Range'!$E$2:$E$35,MATCH(X$1,'Conversion Range'!$A$2:$A$35,0))=1,INDEX('Conversion Range'!$D$2:$D$35,MATCH(X$1,'Conversion Range'!$A$2:$A$35,0))-(('Legend Attributes'!X8-1)/19)*(INDEX('Conversion Range'!$D$2:$D$35,MATCH(X$1,'Conversion Range'!$A$2:$A$35,0))-INDEX('Conversion Range'!$C$2:$C$35,MATCH(X$1,'Conversion Range'!$A$2:$A$35,0))),INDEX('Conversion Range'!$C$2:$C$35,MATCH(X$1,'Conversion Range'!$A$2:$A$35,0))+(('Legend Attributes'!X8-1)/19)*(INDEX('Conversion Range'!$D$2:$D$35,MATCH(X$1,'Conversion Range'!$A$2:$A$35,0))-INDEX('Conversion Range'!$C$2:$C$35,MATCH(X$1,'Conversion Range'!$A$2:$A$35,0)))),3))</f>
        <v>0.40500000000000003</v>
      </c>
      <c r="Y8" s="15">
        <f>IF('Legend Attributes'!Y8=0,0,ROUND(IF(INDEX('Conversion Range'!$E$2:$E$35,MATCH(Y$1,'Conversion Range'!$A$2:$A$35,0))=1,INDEX('Conversion Range'!$D$2:$D$35,MATCH(Y$1,'Conversion Range'!$A$2:$A$35,0))-(('Legend Attributes'!Y8-1)/19)*(INDEX('Conversion Range'!$D$2:$D$35,MATCH(Y$1,'Conversion Range'!$A$2:$A$35,0))-INDEX('Conversion Range'!$C$2:$C$35,MATCH(Y$1,'Conversion Range'!$A$2:$A$35,0))),INDEX('Conversion Range'!$C$2:$C$35,MATCH(Y$1,'Conversion Range'!$A$2:$A$35,0))+(('Legend Attributes'!Y8-1)/19)*(INDEX('Conversion Range'!$D$2:$D$35,MATCH(Y$1,'Conversion Range'!$A$2:$A$35,0))-INDEX('Conversion Range'!$C$2:$C$35,MATCH(Y$1,'Conversion Range'!$A$2:$A$35,0)))),3))</f>
        <v>0.379</v>
      </c>
      <c r="Z8" s="15">
        <f>IF('Legend Attributes'!Z8=0,0,ROUND(IF(INDEX('Conversion Range'!$E$2:$E$35,MATCH(Z$1,'Conversion Range'!$A$2:$A$35,0))=1,INDEX('Conversion Range'!$D$2:$D$35,MATCH(Z$1,'Conversion Range'!$A$2:$A$35,0))-(('Legend Attributes'!Z8-1)/19)*(INDEX('Conversion Range'!$D$2:$D$35,MATCH(Z$1,'Conversion Range'!$A$2:$A$35,0))-INDEX('Conversion Range'!$C$2:$C$35,MATCH(Z$1,'Conversion Range'!$A$2:$A$35,0))),INDEX('Conversion Range'!$C$2:$C$35,MATCH(Z$1,'Conversion Range'!$A$2:$A$35,0))+(('Legend Attributes'!Z8-1)/19)*(INDEX('Conversion Range'!$D$2:$D$35,MATCH(Z$1,'Conversion Range'!$A$2:$A$35,0))-INDEX('Conversion Range'!$C$2:$C$35,MATCH(Z$1,'Conversion Range'!$A$2:$A$35,0)))),3))</f>
        <v>9.4209999999999994</v>
      </c>
      <c r="AA8" s="15">
        <f>IF('Legend Attributes'!AA8=0,0,ROUND(IF(INDEX('Conversion Range'!$E$2:$E$35,MATCH(AA$1,'Conversion Range'!$A$2:$A$35,0))=1,INDEX('Conversion Range'!$D$2:$D$35,MATCH(AA$1,'Conversion Range'!$A$2:$A$35,0))-(('Legend Attributes'!AA8-1)/19)*(INDEX('Conversion Range'!$D$2:$D$35,MATCH(AA$1,'Conversion Range'!$A$2:$A$35,0))-INDEX('Conversion Range'!$C$2:$C$35,MATCH(AA$1,'Conversion Range'!$A$2:$A$35,0))),INDEX('Conversion Range'!$C$2:$C$35,MATCH(AA$1,'Conversion Range'!$A$2:$A$35,0))+(('Legend Attributes'!AA8-1)/19)*(INDEX('Conversion Range'!$D$2:$D$35,MATCH(AA$1,'Conversion Range'!$A$2:$A$35,0))-INDEX('Conversion Range'!$C$2:$C$35,MATCH(AA$1,'Conversion Range'!$A$2:$A$35,0)))),3))</f>
        <v>0.14699999999999999</v>
      </c>
      <c r="AB8" s="15">
        <f>IF('Legend Attributes'!AB8=0,0,ROUND(IF(INDEX('Conversion Range'!$E$2:$E$35,MATCH(AB$1,'Conversion Range'!$A$2:$A$35,0))=1,INDEX('Conversion Range'!$D$2:$D$35,MATCH(AB$1,'Conversion Range'!$A$2:$A$35,0))-(('Legend Attributes'!AB8-1)/19)*(INDEX('Conversion Range'!$D$2:$D$35,MATCH(AB$1,'Conversion Range'!$A$2:$A$35,0))-INDEX('Conversion Range'!$C$2:$C$35,MATCH(AB$1,'Conversion Range'!$A$2:$A$35,0))),INDEX('Conversion Range'!$C$2:$C$35,MATCH(AB$1,'Conversion Range'!$A$2:$A$35,0))+(('Legend Attributes'!AB8-1)/19)*(INDEX('Conversion Range'!$D$2:$D$35,MATCH(AB$1,'Conversion Range'!$A$2:$A$35,0))-INDEX('Conversion Range'!$C$2:$C$35,MATCH(AB$1,'Conversion Range'!$A$2:$A$35,0)))),3))</f>
        <v>0.61799999999999999</v>
      </c>
      <c r="AC8" s="15">
        <f>IF('Legend Attributes'!AC8=0,0,ROUND(IF(INDEX('Conversion Range'!$E$2:$E$35,MATCH(AC$1,'Conversion Range'!$A$2:$A$35,0))=1,INDEX('Conversion Range'!$D$2:$D$35,MATCH(AC$1,'Conversion Range'!$A$2:$A$35,0))-(('Legend Attributes'!AC8-1)/19)*(INDEX('Conversion Range'!$D$2:$D$35,MATCH(AC$1,'Conversion Range'!$A$2:$A$35,0))-INDEX('Conversion Range'!$C$2:$C$35,MATCH(AC$1,'Conversion Range'!$A$2:$A$35,0))),INDEX('Conversion Range'!$C$2:$C$35,MATCH(AC$1,'Conversion Range'!$A$2:$A$35,0))+(('Legend Attributes'!AC8-1)/19)*(INDEX('Conversion Range'!$D$2:$D$35,MATCH(AC$1,'Conversion Range'!$A$2:$A$35,0))-INDEX('Conversion Range'!$C$2:$C$35,MATCH(AC$1,'Conversion Range'!$A$2:$A$35,0)))),3))</f>
        <v>0.27600000000000002</v>
      </c>
      <c r="AD8" s="15">
        <f>IF('Legend Attributes'!AD8=0,0,ROUND(IF(INDEX('Conversion Range'!$E$2:$E$35,MATCH(AD$1,'Conversion Range'!$A$2:$A$35,0))=1,INDEX('Conversion Range'!$D$2:$D$35,MATCH(AD$1,'Conversion Range'!$A$2:$A$35,0))-(('Legend Attributes'!AD8-1)/19)*(INDEX('Conversion Range'!$D$2:$D$35,MATCH(AD$1,'Conversion Range'!$A$2:$A$35,0))-INDEX('Conversion Range'!$C$2:$C$35,MATCH(AD$1,'Conversion Range'!$A$2:$A$35,0))),INDEX('Conversion Range'!$C$2:$C$35,MATCH(AD$1,'Conversion Range'!$A$2:$A$35,0))+(('Legend Attributes'!AD8-1)/19)*(INDEX('Conversion Range'!$D$2:$D$35,MATCH(AD$1,'Conversion Range'!$A$2:$A$35,0))-INDEX('Conversion Range'!$C$2:$C$35,MATCH(AD$1,'Conversion Range'!$A$2:$A$35,0)))),3))</f>
        <v>0</v>
      </c>
      <c r="AE8" s="15">
        <f>IF('Legend Attributes'!AE8=0,0,ROUND(IF(INDEX('Conversion Range'!$E$2:$E$35,MATCH(AE$1,'Conversion Range'!$A$2:$A$35,0))=1,INDEX('Conversion Range'!$D$2:$D$35,MATCH(AE$1,'Conversion Range'!$A$2:$A$35,0))-(('Legend Attributes'!AE8-1)/19)*(INDEX('Conversion Range'!$D$2:$D$35,MATCH(AE$1,'Conversion Range'!$A$2:$A$35,0))-INDEX('Conversion Range'!$C$2:$C$35,MATCH(AE$1,'Conversion Range'!$A$2:$A$35,0))),INDEX('Conversion Range'!$C$2:$C$35,MATCH(AE$1,'Conversion Range'!$A$2:$A$35,0))+(('Legend Attributes'!AE8-1)/19)*(INDEX('Conversion Range'!$D$2:$D$35,MATCH(AE$1,'Conversion Range'!$A$2:$A$35,0))-INDEX('Conversion Range'!$C$2:$C$35,MATCH(AE$1,'Conversion Range'!$A$2:$A$35,0)))),3))</f>
        <v>0</v>
      </c>
      <c r="AF8" s="15">
        <f>IF('Legend Attributes'!AF8=0,0,ROUND(IF(INDEX('Conversion Range'!$E$2:$E$35,MATCH(AF$1,'Conversion Range'!$A$2:$A$35,0))=1,INDEX('Conversion Range'!$D$2:$D$35,MATCH(AF$1,'Conversion Range'!$A$2:$A$35,0))-(('Legend Attributes'!AF8-1)/19)*(INDEX('Conversion Range'!$D$2:$D$35,MATCH(AF$1,'Conversion Range'!$A$2:$A$35,0))-INDEX('Conversion Range'!$C$2:$C$35,MATCH(AF$1,'Conversion Range'!$A$2:$A$35,0))),INDEX('Conversion Range'!$C$2:$C$35,MATCH(AF$1,'Conversion Range'!$A$2:$A$35,0))+(('Legend Attributes'!AF8-1)/19)*(INDEX('Conversion Range'!$D$2:$D$35,MATCH(AF$1,'Conversion Range'!$A$2:$A$35,0))-INDEX('Conversion Range'!$C$2:$C$35,MATCH(AF$1,'Conversion Range'!$A$2:$A$35,0)))),3))</f>
        <v>0</v>
      </c>
      <c r="AG8" s="15">
        <f>IF('Legend Attributes'!AG8=0,0,ROUND(IF(INDEX('Conversion Range'!$E$2:$E$35,MATCH(AG$1,'Conversion Range'!$A$2:$A$35,0))=1,INDEX('Conversion Range'!$D$2:$D$35,MATCH(AG$1,'Conversion Range'!$A$2:$A$35,0))-(('Legend Attributes'!AG8-1)/19)*(INDEX('Conversion Range'!$D$2:$D$35,MATCH(AG$1,'Conversion Range'!$A$2:$A$35,0))-INDEX('Conversion Range'!$C$2:$C$35,MATCH(AG$1,'Conversion Range'!$A$2:$A$35,0))),INDEX('Conversion Range'!$C$2:$C$35,MATCH(AG$1,'Conversion Range'!$A$2:$A$35,0))+(('Legend Attributes'!AG8-1)/19)*(INDEX('Conversion Range'!$D$2:$D$35,MATCH(AG$1,'Conversion Range'!$A$2:$A$35,0))-INDEX('Conversion Range'!$C$2:$C$35,MATCH(AG$1,'Conversion Range'!$A$2:$A$35,0)))),3))</f>
        <v>0.81599999999999995</v>
      </c>
      <c r="AH8" s="15">
        <f>IF('Legend Attributes'!AH8=0,0,ROUND(IF(INDEX('Conversion Range'!$E$2:$E$35,MATCH(AH$1,'Conversion Range'!$A$2:$A$35,0))=1,INDEX('Conversion Range'!$D$2:$D$35,MATCH(AH$1,'Conversion Range'!$A$2:$A$35,0))-(('Legend Attributes'!AH8-1)/19)*(INDEX('Conversion Range'!$D$2:$D$35,MATCH(AH$1,'Conversion Range'!$A$2:$A$35,0))-INDEX('Conversion Range'!$C$2:$C$35,MATCH(AH$1,'Conversion Range'!$A$2:$A$35,0))),INDEX('Conversion Range'!$C$2:$C$35,MATCH(AH$1,'Conversion Range'!$A$2:$A$35,0))+(('Legend Attributes'!AH8-1)/19)*(INDEX('Conversion Range'!$D$2:$D$35,MATCH(AH$1,'Conversion Range'!$A$2:$A$35,0))-INDEX('Conversion Range'!$C$2:$C$35,MATCH(AH$1,'Conversion Range'!$A$2:$A$35,0)))),3))</f>
        <v>0.156</v>
      </c>
      <c r="AI8" s="15">
        <f>IF('Legend Attributes'!AI8=0,0,ROUND(IF(INDEX('Conversion Range'!$E$2:$E$35,MATCH(AI$1,'Conversion Range'!$A$2:$A$35,0))=1,INDEX('Conversion Range'!$D$2:$D$35,MATCH(AI$1,'Conversion Range'!$A$2:$A$35,0))-(('Legend Attributes'!AI8-1)/19)*(INDEX('Conversion Range'!$D$2:$D$35,MATCH(AI$1,'Conversion Range'!$A$2:$A$35,0))-INDEX('Conversion Range'!$C$2:$C$35,MATCH(AI$1,'Conversion Range'!$A$2:$A$35,0))),INDEX('Conversion Range'!$C$2:$C$35,MATCH(AI$1,'Conversion Range'!$A$2:$A$35,0))+(('Legend Attributes'!AI8-1)/19)*(INDEX('Conversion Range'!$D$2:$D$35,MATCH(AI$1,'Conversion Range'!$A$2:$A$35,0))-INDEX('Conversion Range'!$C$2:$C$35,MATCH(AI$1,'Conversion Range'!$A$2:$A$35,0)))),3))</f>
        <v>2.5000000000000001E-2</v>
      </c>
      <c r="AJ8" s="15">
        <f>IF('Legend Attributes'!AJ8=0,0,ROUND(IF(INDEX('Conversion Range'!$E$2:$E$35,MATCH(AJ$1,'Conversion Range'!$A$2:$A$35,0))=1,INDEX('Conversion Range'!$D$2:$D$35,MATCH(AJ$1,'Conversion Range'!$A$2:$A$35,0))-(('Legend Attributes'!AJ8-1)/19)*(INDEX('Conversion Range'!$D$2:$D$35,MATCH(AJ$1,'Conversion Range'!$A$2:$A$35,0))-INDEX('Conversion Range'!$C$2:$C$35,MATCH(AJ$1,'Conversion Range'!$A$2:$A$35,0))),INDEX('Conversion Range'!$C$2:$C$35,MATCH(AJ$1,'Conversion Range'!$A$2:$A$35,0))+(('Legend Attributes'!AJ8-1)/19)*(INDEX('Conversion Range'!$D$2:$D$35,MATCH(AJ$1,'Conversion Range'!$A$2:$A$35,0))-INDEX('Conversion Range'!$C$2:$C$35,MATCH(AJ$1,'Conversion Range'!$A$2:$A$35,0)))),3))</f>
        <v>7.8209999999999997</v>
      </c>
    </row>
    <row r="9" spans="1:36" x14ac:dyDescent="0.35">
      <c r="A9" s="14" t="str">
        <f>'Legend Attributes'!A9</f>
        <v>Frank Lampard</v>
      </c>
      <c r="B9" s="15" t="str">
        <f>'Legend Attributes'!B9</f>
        <v>CM</v>
      </c>
      <c r="C9" s="15">
        <f>IF('Legend Attributes'!C9=0,0,ROUND(IF(INDEX('Conversion Range'!$E$2:$E$35,MATCH(C$1,'Conversion Range'!$A$2:$A$35,0))=1,INDEX('Conversion Range'!$D$2:$D$35,MATCH(C$1,'Conversion Range'!$A$2:$A$35,0))-(('Legend Attributes'!C9-1)/19)*(INDEX('Conversion Range'!$D$2:$D$35,MATCH(C$1,'Conversion Range'!$A$2:$A$35,0))-INDEX('Conversion Range'!$C$2:$C$35,MATCH(C$1,'Conversion Range'!$A$2:$A$35,0))),INDEX('Conversion Range'!$C$2:$C$35,MATCH(C$1,'Conversion Range'!$A$2:$A$35,0))+(('Legend Attributes'!C9-1)/19)*(INDEX('Conversion Range'!$D$2:$D$35,MATCH(C$1,'Conversion Range'!$A$2:$A$35,0))-INDEX('Conversion Range'!$C$2:$C$35,MATCH(C$1,'Conversion Range'!$A$2:$A$35,0)))),3))</f>
        <v>0.63200000000000001</v>
      </c>
      <c r="D9" s="15">
        <f>IF('Legend Attributes'!D9=0,0,ROUND(IF(INDEX('Conversion Range'!$E$2:$E$35,MATCH(D$1,'Conversion Range'!$A$2:$A$35,0))=1,INDEX('Conversion Range'!$D$2:$D$35,MATCH(D$1,'Conversion Range'!$A$2:$A$35,0))-(('Legend Attributes'!D9-1)/19)*(INDEX('Conversion Range'!$D$2:$D$35,MATCH(D$1,'Conversion Range'!$A$2:$A$35,0))-INDEX('Conversion Range'!$C$2:$C$35,MATCH(D$1,'Conversion Range'!$A$2:$A$35,0))),INDEX('Conversion Range'!$C$2:$C$35,MATCH(D$1,'Conversion Range'!$A$2:$A$35,0))+(('Legend Attributes'!D9-1)/19)*(INDEX('Conversion Range'!$D$2:$D$35,MATCH(D$1,'Conversion Range'!$A$2:$A$35,0))-INDEX('Conversion Range'!$C$2:$C$35,MATCH(D$1,'Conversion Range'!$A$2:$A$35,0)))),3))</f>
        <v>0.55800000000000005</v>
      </c>
      <c r="E9" s="15">
        <f>IF('Legend Attributes'!E9=0,0,ROUND(IF(INDEX('Conversion Range'!$E$2:$E$35,MATCH(E$1,'Conversion Range'!$A$2:$A$35,0))=1,INDEX('Conversion Range'!$D$2:$D$35,MATCH(E$1,'Conversion Range'!$A$2:$A$35,0))-(('Legend Attributes'!E9-1)/19)*(INDEX('Conversion Range'!$D$2:$D$35,MATCH(E$1,'Conversion Range'!$A$2:$A$35,0))-INDEX('Conversion Range'!$C$2:$C$35,MATCH(E$1,'Conversion Range'!$A$2:$A$35,0))),INDEX('Conversion Range'!$C$2:$C$35,MATCH(E$1,'Conversion Range'!$A$2:$A$35,0))+(('Legend Attributes'!E9-1)/19)*(INDEX('Conversion Range'!$D$2:$D$35,MATCH(E$1,'Conversion Range'!$A$2:$A$35,0))-INDEX('Conversion Range'!$C$2:$C$35,MATCH(E$1,'Conversion Range'!$A$2:$A$35,0)))),3))</f>
        <v>0.29399999999999998</v>
      </c>
      <c r="F9" s="15">
        <f>IF('Legend Attributes'!F9=0,0,ROUND(IF(INDEX('Conversion Range'!$E$2:$E$35,MATCH(F$1,'Conversion Range'!$A$2:$A$35,0))=1,INDEX('Conversion Range'!$D$2:$D$35,MATCH(F$1,'Conversion Range'!$A$2:$A$35,0))-(('Legend Attributes'!F9-1)/19)*(INDEX('Conversion Range'!$D$2:$D$35,MATCH(F$1,'Conversion Range'!$A$2:$A$35,0))-INDEX('Conversion Range'!$C$2:$C$35,MATCH(F$1,'Conversion Range'!$A$2:$A$35,0))),INDEX('Conversion Range'!$C$2:$C$35,MATCH(F$1,'Conversion Range'!$A$2:$A$35,0))+(('Legend Attributes'!F9-1)/19)*(INDEX('Conversion Range'!$D$2:$D$35,MATCH(F$1,'Conversion Range'!$A$2:$A$35,0))-INDEX('Conversion Range'!$C$2:$C$35,MATCH(F$1,'Conversion Range'!$A$2:$A$35,0)))),3))</f>
        <v>2.9870000000000001</v>
      </c>
      <c r="G9" s="15">
        <f>IF('Legend Attributes'!G9=0,0,ROUND(IF(INDEX('Conversion Range'!$E$2:$E$35,MATCH(G$1,'Conversion Range'!$A$2:$A$35,0))=1,INDEX('Conversion Range'!$D$2:$D$35,MATCH(G$1,'Conversion Range'!$A$2:$A$35,0))-(('Legend Attributes'!G9-1)/19)*(INDEX('Conversion Range'!$D$2:$D$35,MATCH(G$1,'Conversion Range'!$A$2:$A$35,0))-INDEX('Conversion Range'!$C$2:$C$35,MATCH(G$1,'Conversion Range'!$A$2:$A$35,0))),INDEX('Conversion Range'!$C$2:$C$35,MATCH(G$1,'Conversion Range'!$A$2:$A$35,0))+(('Legend Attributes'!G9-1)/19)*(INDEX('Conversion Range'!$D$2:$D$35,MATCH(G$1,'Conversion Range'!$A$2:$A$35,0))-INDEX('Conversion Range'!$C$2:$C$35,MATCH(G$1,'Conversion Range'!$A$2:$A$35,0)))),3))</f>
        <v>1.599</v>
      </c>
      <c r="H9" s="15">
        <f>IF('Legend Attributes'!H9=0,0,ROUND(IF(INDEX('Conversion Range'!$E$2:$E$35,MATCH(H$1,'Conversion Range'!$A$2:$A$35,0))=1,INDEX('Conversion Range'!$D$2:$D$35,MATCH(H$1,'Conversion Range'!$A$2:$A$35,0))-(('Legend Attributes'!H9-1)/19)*(INDEX('Conversion Range'!$D$2:$D$35,MATCH(H$1,'Conversion Range'!$A$2:$A$35,0))-INDEX('Conversion Range'!$C$2:$C$35,MATCH(H$1,'Conversion Range'!$A$2:$A$35,0))),INDEX('Conversion Range'!$C$2:$C$35,MATCH(H$1,'Conversion Range'!$A$2:$A$35,0))+(('Legend Attributes'!H9-1)/19)*(INDEX('Conversion Range'!$D$2:$D$35,MATCH(H$1,'Conversion Range'!$A$2:$A$35,0))-INDEX('Conversion Range'!$C$2:$C$35,MATCH(H$1,'Conversion Range'!$A$2:$A$35,0)))),3))</f>
        <v>0.78900000000000003</v>
      </c>
      <c r="I9" s="15">
        <f>IF('Legend Attributes'!I9=0,0,ROUND(IF(INDEX('Conversion Range'!$E$2:$E$35,MATCH(I$1,'Conversion Range'!$A$2:$A$35,0))=1,INDEX('Conversion Range'!$D$2:$D$35,MATCH(I$1,'Conversion Range'!$A$2:$A$35,0))-(('Legend Attributes'!I9-1)/19)*(INDEX('Conversion Range'!$D$2:$D$35,MATCH(I$1,'Conversion Range'!$A$2:$A$35,0))-INDEX('Conversion Range'!$C$2:$C$35,MATCH(I$1,'Conversion Range'!$A$2:$A$35,0))),INDEX('Conversion Range'!$C$2:$C$35,MATCH(I$1,'Conversion Range'!$A$2:$A$35,0))+(('Legend Attributes'!I9-1)/19)*(INDEX('Conversion Range'!$D$2:$D$35,MATCH(I$1,'Conversion Range'!$A$2:$A$35,0))-INDEX('Conversion Range'!$C$2:$C$35,MATCH(I$1,'Conversion Range'!$A$2:$A$35,0)))),3))</f>
        <v>1.4159999999999999</v>
      </c>
      <c r="J9" s="15">
        <f>IF('Legend Attributes'!J9=0,0,ROUND(IF(INDEX('Conversion Range'!$E$2:$E$35,MATCH(J$1,'Conversion Range'!$A$2:$A$35,0))=1,INDEX('Conversion Range'!$D$2:$D$35,MATCH(J$1,'Conversion Range'!$A$2:$A$35,0))-(('Legend Attributes'!J9-1)/19)*(INDEX('Conversion Range'!$D$2:$D$35,MATCH(J$1,'Conversion Range'!$A$2:$A$35,0))-INDEX('Conversion Range'!$C$2:$C$35,MATCH(J$1,'Conversion Range'!$A$2:$A$35,0))),INDEX('Conversion Range'!$C$2:$C$35,MATCH(J$1,'Conversion Range'!$A$2:$A$35,0))+(('Legend Attributes'!J9-1)/19)*(INDEX('Conversion Range'!$D$2:$D$35,MATCH(J$1,'Conversion Range'!$A$2:$A$35,0))-INDEX('Conversion Range'!$C$2:$C$35,MATCH(J$1,'Conversion Range'!$A$2:$A$35,0)))),3))</f>
        <v>1.5049999999999999</v>
      </c>
      <c r="K9" s="15">
        <f>IF('Legend Attributes'!K9=0,0,ROUND(IF(INDEX('Conversion Range'!$E$2:$E$35,MATCH(K$1,'Conversion Range'!$A$2:$A$35,0))=1,INDEX('Conversion Range'!$D$2:$D$35,MATCH(K$1,'Conversion Range'!$A$2:$A$35,0))-(('Legend Attributes'!K9-1)/19)*(INDEX('Conversion Range'!$D$2:$D$35,MATCH(K$1,'Conversion Range'!$A$2:$A$35,0))-INDEX('Conversion Range'!$C$2:$C$35,MATCH(K$1,'Conversion Range'!$A$2:$A$35,0))),INDEX('Conversion Range'!$C$2:$C$35,MATCH(K$1,'Conversion Range'!$A$2:$A$35,0))+(('Legend Attributes'!K9-1)/19)*(INDEX('Conversion Range'!$D$2:$D$35,MATCH(K$1,'Conversion Range'!$A$2:$A$35,0))-INDEX('Conversion Range'!$C$2:$C$35,MATCH(K$1,'Conversion Range'!$A$2:$A$35,0)))),3))</f>
        <v>1.026</v>
      </c>
      <c r="L9" s="15">
        <f>IF('Legend Attributes'!L9=0,0,ROUND(IF(INDEX('Conversion Range'!$E$2:$E$35,MATCH(L$1,'Conversion Range'!$A$2:$A$35,0))=1,INDEX('Conversion Range'!$D$2:$D$35,MATCH(L$1,'Conversion Range'!$A$2:$A$35,0))-(('Legend Attributes'!L9-1)/19)*(INDEX('Conversion Range'!$D$2:$D$35,MATCH(L$1,'Conversion Range'!$A$2:$A$35,0))-INDEX('Conversion Range'!$C$2:$C$35,MATCH(L$1,'Conversion Range'!$A$2:$A$35,0))),INDEX('Conversion Range'!$C$2:$C$35,MATCH(L$1,'Conversion Range'!$A$2:$A$35,0))+(('Legend Attributes'!L9-1)/19)*(INDEX('Conversion Range'!$D$2:$D$35,MATCH(L$1,'Conversion Range'!$A$2:$A$35,0))-INDEX('Conversion Range'!$C$2:$C$35,MATCH(L$1,'Conversion Range'!$A$2:$A$35,0)))),3))</f>
        <v>0.97899999999999998</v>
      </c>
      <c r="M9" s="15">
        <f>IF('Legend Attributes'!M9=0,0,ROUND(IF(INDEX('Conversion Range'!$E$2:$E$35,MATCH(M$1,'Conversion Range'!$A$2:$A$35,0))=1,INDEX('Conversion Range'!$D$2:$D$35,MATCH(M$1,'Conversion Range'!$A$2:$A$35,0))-(('Legend Attributes'!M9-1)/19)*(INDEX('Conversion Range'!$D$2:$D$35,MATCH(M$1,'Conversion Range'!$A$2:$A$35,0))-INDEX('Conversion Range'!$C$2:$C$35,MATCH(M$1,'Conversion Range'!$A$2:$A$35,0))),INDEX('Conversion Range'!$C$2:$C$35,MATCH(M$1,'Conversion Range'!$A$2:$A$35,0))+(('Legend Attributes'!M9-1)/19)*(INDEX('Conversion Range'!$D$2:$D$35,MATCH(M$1,'Conversion Range'!$A$2:$A$35,0))-INDEX('Conversion Range'!$C$2:$C$35,MATCH(M$1,'Conversion Range'!$A$2:$A$35,0)))),3))</f>
        <v>0.253</v>
      </c>
      <c r="N9" s="15">
        <f>IF('Legend Attributes'!N9=0,0,ROUND(IF(INDEX('Conversion Range'!$E$2:$E$35,MATCH(N$1,'Conversion Range'!$A$2:$A$35,0))=1,INDEX('Conversion Range'!$D$2:$D$35,MATCH(N$1,'Conversion Range'!$A$2:$A$35,0))-(('Legend Attributes'!N9-1)/19)*(INDEX('Conversion Range'!$D$2:$D$35,MATCH(N$1,'Conversion Range'!$A$2:$A$35,0))-INDEX('Conversion Range'!$C$2:$C$35,MATCH(N$1,'Conversion Range'!$A$2:$A$35,0))),INDEX('Conversion Range'!$C$2:$C$35,MATCH(N$1,'Conversion Range'!$A$2:$A$35,0))+(('Legend Attributes'!N9-1)/19)*(INDEX('Conversion Range'!$D$2:$D$35,MATCH(N$1,'Conversion Range'!$A$2:$A$35,0))-INDEX('Conversion Range'!$C$2:$C$35,MATCH(N$1,'Conversion Range'!$A$2:$A$35,0)))),3))</f>
        <v>5.9470000000000001</v>
      </c>
      <c r="O9" s="15">
        <f>IF('Legend Attributes'!O9=0,0,ROUND(IF(INDEX('Conversion Range'!$E$2:$E$35,MATCH(O$1,'Conversion Range'!$A$2:$A$35,0))=1,INDEX('Conversion Range'!$D$2:$D$35,MATCH(O$1,'Conversion Range'!$A$2:$A$35,0))-(('Legend Attributes'!O9-1)/19)*(INDEX('Conversion Range'!$D$2:$D$35,MATCH(O$1,'Conversion Range'!$A$2:$A$35,0))-INDEX('Conversion Range'!$C$2:$C$35,MATCH(O$1,'Conversion Range'!$A$2:$A$35,0))),INDEX('Conversion Range'!$C$2:$C$35,MATCH(O$1,'Conversion Range'!$A$2:$A$35,0))+(('Legend Attributes'!O9-1)/19)*(INDEX('Conversion Range'!$D$2:$D$35,MATCH(O$1,'Conversion Range'!$A$2:$A$35,0))-INDEX('Conversion Range'!$C$2:$C$35,MATCH(O$1,'Conversion Range'!$A$2:$A$35,0)))),3))</f>
        <v>1.079</v>
      </c>
      <c r="P9" s="15">
        <f>IF('Legend Attributes'!P9=0,0,ROUND(IF(INDEX('Conversion Range'!$E$2:$E$35,MATCH(P$1,'Conversion Range'!$A$2:$A$35,0))=1,INDEX('Conversion Range'!$D$2:$D$35,MATCH(P$1,'Conversion Range'!$A$2:$A$35,0))-(('Legend Attributes'!P9-1)/19)*(INDEX('Conversion Range'!$D$2:$D$35,MATCH(P$1,'Conversion Range'!$A$2:$A$35,0))-INDEX('Conversion Range'!$C$2:$C$35,MATCH(P$1,'Conversion Range'!$A$2:$A$35,0))),INDEX('Conversion Range'!$C$2:$C$35,MATCH(P$1,'Conversion Range'!$A$2:$A$35,0))+(('Legend Attributes'!P9-1)/19)*(INDEX('Conversion Range'!$D$2:$D$35,MATCH(P$1,'Conversion Range'!$A$2:$A$35,0))-INDEX('Conversion Range'!$C$2:$C$35,MATCH(P$1,'Conversion Range'!$A$2:$A$35,0)))),3))</f>
        <v>56.052999999999997</v>
      </c>
      <c r="Q9" s="15">
        <f>IF('Legend Attributes'!Q9=0,0,ROUND(IF(INDEX('Conversion Range'!$E$2:$E$35,MATCH(Q$1,'Conversion Range'!$A$2:$A$35,0))=1,INDEX('Conversion Range'!$D$2:$D$35,MATCH(Q$1,'Conversion Range'!$A$2:$A$35,0))-(('Legend Attributes'!Q9-1)/19)*(INDEX('Conversion Range'!$D$2:$D$35,MATCH(Q$1,'Conversion Range'!$A$2:$A$35,0))-INDEX('Conversion Range'!$C$2:$C$35,MATCH(Q$1,'Conversion Range'!$A$2:$A$35,0))),INDEX('Conversion Range'!$C$2:$C$35,MATCH(Q$1,'Conversion Range'!$A$2:$A$35,0))+(('Legend Attributes'!Q9-1)/19)*(INDEX('Conversion Range'!$D$2:$D$35,MATCH(Q$1,'Conversion Range'!$A$2:$A$35,0))-INDEX('Conversion Range'!$C$2:$C$35,MATCH(Q$1,'Conversion Range'!$A$2:$A$35,0)))),3))</f>
        <v>52.368000000000002</v>
      </c>
      <c r="R9" s="15">
        <f>IF('Legend Attributes'!R9=0,0,ROUND(IF(INDEX('Conversion Range'!$E$2:$E$35,MATCH(R$1,'Conversion Range'!$A$2:$A$35,0))=1,INDEX('Conversion Range'!$D$2:$D$35,MATCH(R$1,'Conversion Range'!$A$2:$A$35,0))-(('Legend Attributes'!R9-1)/19)*(INDEX('Conversion Range'!$D$2:$D$35,MATCH(R$1,'Conversion Range'!$A$2:$A$35,0))-INDEX('Conversion Range'!$C$2:$C$35,MATCH(R$1,'Conversion Range'!$A$2:$A$35,0))),INDEX('Conversion Range'!$C$2:$C$35,MATCH(R$1,'Conversion Range'!$A$2:$A$35,0))+(('Legend Attributes'!R9-1)/19)*(INDEX('Conversion Range'!$D$2:$D$35,MATCH(R$1,'Conversion Range'!$A$2:$A$35,0))-INDEX('Conversion Range'!$C$2:$C$35,MATCH(R$1,'Conversion Range'!$A$2:$A$35,0)))),3))</f>
        <v>84.474000000000004</v>
      </c>
      <c r="S9" s="15">
        <f>IF('Legend Attributes'!S9=0,0,ROUND(IF(INDEX('Conversion Range'!$E$2:$E$35,MATCH(S$1,'Conversion Range'!$A$2:$A$35,0))=1,INDEX('Conversion Range'!$D$2:$D$35,MATCH(S$1,'Conversion Range'!$A$2:$A$35,0))-(('Legend Attributes'!S9-1)/19)*(INDEX('Conversion Range'!$D$2:$D$35,MATCH(S$1,'Conversion Range'!$A$2:$A$35,0))-INDEX('Conversion Range'!$C$2:$C$35,MATCH(S$1,'Conversion Range'!$A$2:$A$35,0))),INDEX('Conversion Range'!$C$2:$C$35,MATCH(S$1,'Conversion Range'!$A$2:$A$35,0))+(('Legend Attributes'!S9-1)/19)*(INDEX('Conversion Range'!$D$2:$D$35,MATCH(S$1,'Conversion Range'!$A$2:$A$35,0))-INDEX('Conversion Range'!$C$2:$C$35,MATCH(S$1,'Conversion Range'!$A$2:$A$35,0)))),3))</f>
        <v>2.8889999999999998</v>
      </c>
      <c r="T9" s="15">
        <f>IF('Legend Attributes'!T9=0,0,ROUND(IF(INDEX('Conversion Range'!$E$2:$E$35,MATCH(T$1,'Conversion Range'!$A$2:$A$35,0))=1,INDEX('Conversion Range'!$D$2:$D$35,MATCH(T$1,'Conversion Range'!$A$2:$A$35,0))-(('Legend Attributes'!T9-1)/19)*(INDEX('Conversion Range'!$D$2:$D$35,MATCH(T$1,'Conversion Range'!$A$2:$A$35,0))-INDEX('Conversion Range'!$C$2:$C$35,MATCH(T$1,'Conversion Range'!$A$2:$A$35,0))),INDEX('Conversion Range'!$C$2:$C$35,MATCH(T$1,'Conversion Range'!$A$2:$A$35,0))+(('Legend Attributes'!T9-1)/19)*(INDEX('Conversion Range'!$D$2:$D$35,MATCH(T$1,'Conversion Range'!$A$2:$A$35,0))-INDEX('Conversion Range'!$C$2:$C$35,MATCH(T$1,'Conversion Range'!$A$2:$A$35,0)))),3))</f>
        <v>49.895000000000003</v>
      </c>
      <c r="U9" s="15">
        <f>IF('Legend Attributes'!U9=0,0,ROUND(IF(INDEX('Conversion Range'!$E$2:$E$35,MATCH(U$1,'Conversion Range'!$A$2:$A$35,0))=1,INDEX('Conversion Range'!$D$2:$D$35,MATCH(U$1,'Conversion Range'!$A$2:$A$35,0))-(('Legend Attributes'!U9-1)/19)*(INDEX('Conversion Range'!$D$2:$D$35,MATCH(U$1,'Conversion Range'!$A$2:$A$35,0))-INDEX('Conversion Range'!$C$2:$C$35,MATCH(U$1,'Conversion Range'!$A$2:$A$35,0))),INDEX('Conversion Range'!$C$2:$C$35,MATCH(U$1,'Conversion Range'!$A$2:$A$35,0))+(('Legend Attributes'!U9-1)/19)*(INDEX('Conversion Range'!$D$2:$D$35,MATCH(U$1,'Conversion Range'!$A$2:$A$35,0))-INDEX('Conversion Range'!$C$2:$C$35,MATCH(U$1,'Conversion Range'!$A$2:$A$35,0)))),3))</f>
        <v>2.7629999999999999</v>
      </c>
      <c r="V9" s="15">
        <f>IF('Legend Attributes'!V9=0,0,ROUND(IF(INDEX('Conversion Range'!$E$2:$E$35,MATCH(V$1,'Conversion Range'!$A$2:$A$35,0))=1,INDEX('Conversion Range'!$D$2:$D$35,MATCH(V$1,'Conversion Range'!$A$2:$A$35,0))-(('Legend Attributes'!V9-1)/19)*(INDEX('Conversion Range'!$D$2:$D$35,MATCH(V$1,'Conversion Range'!$A$2:$A$35,0))-INDEX('Conversion Range'!$C$2:$C$35,MATCH(V$1,'Conversion Range'!$A$2:$A$35,0))),INDEX('Conversion Range'!$C$2:$C$35,MATCH(V$1,'Conversion Range'!$A$2:$A$35,0))+(('Legend Attributes'!V9-1)/19)*(INDEX('Conversion Range'!$D$2:$D$35,MATCH(V$1,'Conversion Range'!$A$2:$A$35,0))-INDEX('Conversion Range'!$C$2:$C$35,MATCH(V$1,'Conversion Range'!$A$2:$A$35,0)))),3))</f>
        <v>53.683999999999997</v>
      </c>
      <c r="W9" s="15">
        <f>IF('Legend Attributes'!W9=0,0,ROUND(IF(INDEX('Conversion Range'!$E$2:$E$35,MATCH(W$1,'Conversion Range'!$A$2:$A$35,0))=1,INDEX('Conversion Range'!$D$2:$D$35,MATCH(W$1,'Conversion Range'!$A$2:$A$35,0))-(('Legend Attributes'!W9-1)/19)*(INDEX('Conversion Range'!$D$2:$D$35,MATCH(W$1,'Conversion Range'!$A$2:$A$35,0))-INDEX('Conversion Range'!$C$2:$C$35,MATCH(W$1,'Conversion Range'!$A$2:$A$35,0))),INDEX('Conversion Range'!$C$2:$C$35,MATCH(W$1,'Conversion Range'!$A$2:$A$35,0))+(('Legend Attributes'!W9-1)/19)*(INDEX('Conversion Range'!$D$2:$D$35,MATCH(W$1,'Conversion Range'!$A$2:$A$35,0))-INDEX('Conversion Range'!$C$2:$C$35,MATCH(W$1,'Conversion Range'!$A$2:$A$35,0)))),3))</f>
        <v>0.23699999999999999</v>
      </c>
      <c r="X9" s="15">
        <f>IF('Legend Attributes'!X9=0,0,ROUND(IF(INDEX('Conversion Range'!$E$2:$E$35,MATCH(X$1,'Conversion Range'!$A$2:$A$35,0))=1,INDEX('Conversion Range'!$D$2:$D$35,MATCH(X$1,'Conversion Range'!$A$2:$A$35,0))-(('Legend Attributes'!X9-1)/19)*(INDEX('Conversion Range'!$D$2:$D$35,MATCH(X$1,'Conversion Range'!$A$2:$A$35,0))-INDEX('Conversion Range'!$C$2:$C$35,MATCH(X$1,'Conversion Range'!$A$2:$A$35,0))),INDEX('Conversion Range'!$C$2:$C$35,MATCH(X$1,'Conversion Range'!$A$2:$A$35,0))+(('Legend Attributes'!X9-1)/19)*(INDEX('Conversion Range'!$D$2:$D$35,MATCH(X$1,'Conversion Range'!$A$2:$A$35,0))-INDEX('Conversion Range'!$C$2:$C$35,MATCH(X$1,'Conversion Range'!$A$2:$A$35,0)))),3))</f>
        <v>0.69499999999999995</v>
      </c>
      <c r="Y9" s="15">
        <f>IF('Legend Attributes'!Y9=0,0,ROUND(IF(INDEX('Conversion Range'!$E$2:$E$35,MATCH(Y$1,'Conversion Range'!$A$2:$A$35,0))=1,INDEX('Conversion Range'!$D$2:$D$35,MATCH(Y$1,'Conversion Range'!$A$2:$A$35,0))-(('Legend Attributes'!Y9-1)/19)*(INDEX('Conversion Range'!$D$2:$D$35,MATCH(Y$1,'Conversion Range'!$A$2:$A$35,0))-INDEX('Conversion Range'!$C$2:$C$35,MATCH(Y$1,'Conversion Range'!$A$2:$A$35,0))),INDEX('Conversion Range'!$C$2:$C$35,MATCH(Y$1,'Conversion Range'!$A$2:$A$35,0))+(('Legend Attributes'!Y9-1)/19)*(INDEX('Conversion Range'!$D$2:$D$35,MATCH(Y$1,'Conversion Range'!$A$2:$A$35,0))-INDEX('Conversion Range'!$C$2:$C$35,MATCH(Y$1,'Conversion Range'!$A$2:$A$35,0)))),3))</f>
        <v>0.33200000000000002</v>
      </c>
      <c r="Z9" s="15">
        <f>IF('Legend Attributes'!Z9=0,0,ROUND(IF(INDEX('Conversion Range'!$E$2:$E$35,MATCH(Z$1,'Conversion Range'!$A$2:$A$35,0))=1,INDEX('Conversion Range'!$D$2:$D$35,MATCH(Z$1,'Conversion Range'!$A$2:$A$35,0))-(('Legend Attributes'!Z9-1)/19)*(INDEX('Conversion Range'!$D$2:$D$35,MATCH(Z$1,'Conversion Range'!$A$2:$A$35,0))-INDEX('Conversion Range'!$C$2:$C$35,MATCH(Z$1,'Conversion Range'!$A$2:$A$35,0))),INDEX('Conversion Range'!$C$2:$C$35,MATCH(Z$1,'Conversion Range'!$A$2:$A$35,0))+(('Legend Attributes'!Z9-1)/19)*(INDEX('Conversion Range'!$D$2:$D$35,MATCH(Z$1,'Conversion Range'!$A$2:$A$35,0))-INDEX('Conversion Range'!$C$2:$C$35,MATCH(Z$1,'Conversion Range'!$A$2:$A$35,0)))),3))</f>
        <v>8.1050000000000004</v>
      </c>
      <c r="AA9" s="15">
        <f>IF('Legend Attributes'!AA9=0,0,ROUND(IF(INDEX('Conversion Range'!$E$2:$E$35,MATCH(AA$1,'Conversion Range'!$A$2:$A$35,0))=1,INDEX('Conversion Range'!$D$2:$D$35,MATCH(AA$1,'Conversion Range'!$A$2:$A$35,0))-(('Legend Attributes'!AA9-1)/19)*(INDEX('Conversion Range'!$D$2:$D$35,MATCH(AA$1,'Conversion Range'!$A$2:$A$35,0))-INDEX('Conversion Range'!$C$2:$C$35,MATCH(AA$1,'Conversion Range'!$A$2:$A$35,0))),INDEX('Conversion Range'!$C$2:$C$35,MATCH(AA$1,'Conversion Range'!$A$2:$A$35,0))+(('Legend Attributes'!AA9-1)/19)*(INDEX('Conversion Range'!$D$2:$D$35,MATCH(AA$1,'Conversion Range'!$A$2:$A$35,0))-INDEX('Conversion Range'!$C$2:$C$35,MATCH(AA$1,'Conversion Range'!$A$2:$A$35,0)))),3))</f>
        <v>0.313</v>
      </c>
      <c r="AB9" s="15">
        <f>IF('Legend Attributes'!AB9=0,0,ROUND(IF(INDEX('Conversion Range'!$E$2:$E$35,MATCH(AB$1,'Conversion Range'!$A$2:$A$35,0))=1,INDEX('Conversion Range'!$D$2:$D$35,MATCH(AB$1,'Conversion Range'!$A$2:$A$35,0))-(('Legend Attributes'!AB9-1)/19)*(INDEX('Conversion Range'!$D$2:$D$35,MATCH(AB$1,'Conversion Range'!$A$2:$A$35,0))-INDEX('Conversion Range'!$C$2:$C$35,MATCH(AB$1,'Conversion Range'!$A$2:$A$35,0))),INDEX('Conversion Range'!$C$2:$C$35,MATCH(AB$1,'Conversion Range'!$A$2:$A$35,0))+(('Legend Attributes'!AB9-1)/19)*(INDEX('Conversion Range'!$D$2:$D$35,MATCH(AB$1,'Conversion Range'!$A$2:$A$35,0))-INDEX('Conversion Range'!$C$2:$C$35,MATCH(AB$1,'Conversion Range'!$A$2:$A$35,0)))),3))</f>
        <v>0.61799999999999999</v>
      </c>
      <c r="AC9" s="15">
        <f>IF('Legend Attributes'!AC9=0,0,ROUND(IF(INDEX('Conversion Range'!$E$2:$E$35,MATCH(AC$1,'Conversion Range'!$A$2:$A$35,0))=1,INDEX('Conversion Range'!$D$2:$D$35,MATCH(AC$1,'Conversion Range'!$A$2:$A$35,0))-(('Legend Attributes'!AC9-1)/19)*(INDEX('Conversion Range'!$D$2:$D$35,MATCH(AC$1,'Conversion Range'!$A$2:$A$35,0))-INDEX('Conversion Range'!$C$2:$C$35,MATCH(AC$1,'Conversion Range'!$A$2:$A$35,0))),INDEX('Conversion Range'!$C$2:$C$35,MATCH(AC$1,'Conversion Range'!$A$2:$A$35,0))+(('Legend Attributes'!AC9-1)/19)*(INDEX('Conversion Range'!$D$2:$D$35,MATCH(AC$1,'Conversion Range'!$A$2:$A$35,0))-INDEX('Conversion Range'!$C$2:$C$35,MATCH(AC$1,'Conversion Range'!$A$2:$A$35,0)))),3))</f>
        <v>0.41299999999999998</v>
      </c>
      <c r="AD9" s="15">
        <f>IF('Legend Attributes'!AD9=0,0,ROUND(IF(INDEX('Conversion Range'!$E$2:$E$35,MATCH(AD$1,'Conversion Range'!$A$2:$A$35,0))=1,INDEX('Conversion Range'!$D$2:$D$35,MATCH(AD$1,'Conversion Range'!$A$2:$A$35,0))-(('Legend Attributes'!AD9-1)/19)*(INDEX('Conversion Range'!$D$2:$D$35,MATCH(AD$1,'Conversion Range'!$A$2:$A$35,0))-INDEX('Conversion Range'!$C$2:$C$35,MATCH(AD$1,'Conversion Range'!$A$2:$A$35,0))),INDEX('Conversion Range'!$C$2:$C$35,MATCH(AD$1,'Conversion Range'!$A$2:$A$35,0))+(('Legend Attributes'!AD9-1)/19)*(INDEX('Conversion Range'!$D$2:$D$35,MATCH(AD$1,'Conversion Range'!$A$2:$A$35,0))-INDEX('Conversion Range'!$C$2:$C$35,MATCH(AD$1,'Conversion Range'!$A$2:$A$35,0)))),3))</f>
        <v>0</v>
      </c>
      <c r="AE9" s="15">
        <f>IF('Legend Attributes'!AE9=0,0,ROUND(IF(INDEX('Conversion Range'!$E$2:$E$35,MATCH(AE$1,'Conversion Range'!$A$2:$A$35,0))=1,INDEX('Conversion Range'!$D$2:$D$35,MATCH(AE$1,'Conversion Range'!$A$2:$A$35,0))-(('Legend Attributes'!AE9-1)/19)*(INDEX('Conversion Range'!$D$2:$D$35,MATCH(AE$1,'Conversion Range'!$A$2:$A$35,0))-INDEX('Conversion Range'!$C$2:$C$35,MATCH(AE$1,'Conversion Range'!$A$2:$A$35,0))),INDEX('Conversion Range'!$C$2:$C$35,MATCH(AE$1,'Conversion Range'!$A$2:$A$35,0))+(('Legend Attributes'!AE9-1)/19)*(INDEX('Conversion Range'!$D$2:$D$35,MATCH(AE$1,'Conversion Range'!$A$2:$A$35,0))-INDEX('Conversion Range'!$C$2:$C$35,MATCH(AE$1,'Conversion Range'!$A$2:$A$35,0)))),3))</f>
        <v>0</v>
      </c>
      <c r="AF9" s="15">
        <f>IF('Legend Attributes'!AF9=0,0,ROUND(IF(INDEX('Conversion Range'!$E$2:$E$35,MATCH(AF$1,'Conversion Range'!$A$2:$A$35,0))=1,INDEX('Conversion Range'!$D$2:$D$35,MATCH(AF$1,'Conversion Range'!$A$2:$A$35,0))-(('Legend Attributes'!AF9-1)/19)*(INDEX('Conversion Range'!$D$2:$D$35,MATCH(AF$1,'Conversion Range'!$A$2:$A$35,0))-INDEX('Conversion Range'!$C$2:$C$35,MATCH(AF$1,'Conversion Range'!$A$2:$A$35,0))),INDEX('Conversion Range'!$C$2:$C$35,MATCH(AF$1,'Conversion Range'!$A$2:$A$35,0))+(('Legend Attributes'!AF9-1)/19)*(INDEX('Conversion Range'!$D$2:$D$35,MATCH(AF$1,'Conversion Range'!$A$2:$A$35,0))-INDEX('Conversion Range'!$C$2:$C$35,MATCH(AF$1,'Conversion Range'!$A$2:$A$35,0)))),3))</f>
        <v>0</v>
      </c>
      <c r="AG9" s="15">
        <f>IF('Legend Attributes'!AG9=0,0,ROUND(IF(INDEX('Conversion Range'!$E$2:$E$35,MATCH(AG$1,'Conversion Range'!$A$2:$A$35,0))=1,INDEX('Conversion Range'!$D$2:$D$35,MATCH(AG$1,'Conversion Range'!$A$2:$A$35,0))-(('Legend Attributes'!AG9-1)/19)*(INDEX('Conversion Range'!$D$2:$D$35,MATCH(AG$1,'Conversion Range'!$A$2:$A$35,0))-INDEX('Conversion Range'!$C$2:$C$35,MATCH(AG$1,'Conversion Range'!$A$2:$A$35,0))),INDEX('Conversion Range'!$C$2:$C$35,MATCH(AG$1,'Conversion Range'!$A$2:$A$35,0))+(('Legend Attributes'!AG9-1)/19)*(INDEX('Conversion Range'!$D$2:$D$35,MATCH(AG$1,'Conversion Range'!$A$2:$A$35,0))-INDEX('Conversion Range'!$C$2:$C$35,MATCH(AG$1,'Conversion Range'!$A$2:$A$35,0)))),3))</f>
        <v>1.0529999999999999</v>
      </c>
      <c r="AH9" s="15">
        <f>IF('Legend Attributes'!AH9=0,0,ROUND(IF(INDEX('Conversion Range'!$E$2:$E$35,MATCH(AH$1,'Conversion Range'!$A$2:$A$35,0))=1,INDEX('Conversion Range'!$D$2:$D$35,MATCH(AH$1,'Conversion Range'!$A$2:$A$35,0))-(('Legend Attributes'!AH9-1)/19)*(INDEX('Conversion Range'!$D$2:$D$35,MATCH(AH$1,'Conversion Range'!$A$2:$A$35,0))-INDEX('Conversion Range'!$C$2:$C$35,MATCH(AH$1,'Conversion Range'!$A$2:$A$35,0))),INDEX('Conversion Range'!$C$2:$C$35,MATCH(AH$1,'Conversion Range'!$A$2:$A$35,0))+(('Legend Attributes'!AH9-1)/19)*(INDEX('Conversion Range'!$D$2:$D$35,MATCH(AH$1,'Conversion Range'!$A$2:$A$35,0))-INDEX('Conversion Range'!$C$2:$C$35,MATCH(AH$1,'Conversion Range'!$A$2:$A$35,0)))),3))</f>
        <v>0.17799999999999999</v>
      </c>
      <c r="AI9" s="15">
        <f>IF('Legend Attributes'!AI9=0,0,ROUND(IF(INDEX('Conversion Range'!$E$2:$E$35,MATCH(AI$1,'Conversion Range'!$A$2:$A$35,0))=1,INDEX('Conversion Range'!$D$2:$D$35,MATCH(AI$1,'Conversion Range'!$A$2:$A$35,0))-(('Legend Attributes'!AI9-1)/19)*(INDEX('Conversion Range'!$D$2:$D$35,MATCH(AI$1,'Conversion Range'!$A$2:$A$35,0))-INDEX('Conversion Range'!$C$2:$C$35,MATCH(AI$1,'Conversion Range'!$A$2:$A$35,0))),INDEX('Conversion Range'!$C$2:$C$35,MATCH(AI$1,'Conversion Range'!$A$2:$A$35,0))+(('Legend Attributes'!AI9-1)/19)*(INDEX('Conversion Range'!$D$2:$D$35,MATCH(AI$1,'Conversion Range'!$A$2:$A$35,0))-INDEX('Conversion Range'!$C$2:$C$35,MATCH(AI$1,'Conversion Range'!$A$2:$A$35,0)))),3))</f>
        <v>3.2000000000000001E-2</v>
      </c>
      <c r="AJ9" s="15">
        <f>IF('Legend Attributes'!AJ9=0,0,ROUND(IF(INDEX('Conversion Range'!$E$2:$E$35,MATCH(AJ$1,'Conversion Range'!$A$2:$A$35,0))=1,INDEX('Conversion Range'!$D$2:$D$35,MATCH(AJ$1,'Conversion Range'!$A$2:$A$35,0))-(('Legend Attributes'!AJ9-1)/19)*(INDEX('Conversion Range'!$D$2:$D$35,MATCH(AJ$1,'Conversion Range'!$A$2:$A$35,0))-INDEX('Conversion Range'!$C$2:$C$35,MATCH(AJ$1,'Conversion Range'!$A$2:$A$35,0))),INDEX('Conversion Range'!$C$2:$C$35,MATCH(AJ$1,'Conversion Range'!$A$2:$A$35,0))+(('Legend Attributes'!AJ9-1)/19)*(INDEX('Conversion Range'!$D$2:$D$35,MATCH(AJ$1,'Conversion Range'!$A$2:$A$35,0))-INDEX('Conversion Range'!$C$2:$C$35,MATCH(AJ$1,'Conversion Range'!$A$2:$A$35,0)))),3))</f>
        <v>8.1050000000000004</v>
      </c>
    </row>
    <row r="10" spans="1:36" x14ac:dyDescent="0.35">
      <c r="A10" s="14" t="str">
        <f>'Legend Attributes'!A10</f>
        <v>Steven Gerrard</v>
      </c>
      <c r="B10" s="15" t="str">
        <f>'Legend Attributes'!B10</f>
        <v>CM</v>
      </c>
      <c r="C10" s="15">
        <f>IF('Legend Attributes'!C10=0,0,ROUND(IF(INDEX('Conversion Range'!$E$2:$E$35,MATCH(C$1,'Conversion Range'!$A$2:$A$35,0))=1,INDEX('Conversion Range'!$D$2:$D$35,MATCH(C$1,'Conversion Range'!$A$2:$A$35,0))-(('Legend Attributes'!C10-1)/19)*(INDEX('Conversion Range'!$D$2:$D$35,MATCH(C$1,'Conversion Range'!$A$2:$A$35,0))-INDEX('Conversion Range'!$C$2:$C$35,MATCH(C$1,'Conversion Range'!$A$2:$A$35,0))),INDEX('Conversion Range'!$C$2:$C$35,MATCH(C$1,'Conversion Range'!$A$2:$A$35,0))+(('Legend Attributes'!C10-1)/19)*(INDEX('Conversion Range'!$D$2:$D$35,MATCH(C$1,'Conversion Range'!$A$2:$A$35,0))-INDEX('Conversion Range'!$C$2:$C$35,MATCH(C$1,'Conversion Range'!$A$2:$A$35,0)))),3))</f>
        <v>0.58799999999999997</v>
      </c>
      <c r="D10" s="15">
        <f>IF('Legend Attributes'!D10=0,0,ROUND(IF(INDEX('Conversion Range'!$E$2:$E$35,MATCH(D$1,'Conversion Range'!$A$2:$A$35,0))=1,INDEX('Conversion Range'!$D$2:$D$35,MATCH(D$1,'Conversion Range'!$A$2:$A$35,0))-(('Legend Attributes'!D10-1)/19)*(INDEX('Conversion Range'!$D$2:$D$35,MATCH(D$1,'Conversion Range'!$A$2:$A$35,0))-INDEX('Conversion Range'!$C$2:$C$35,MATCH(D$1,'Conversion Range'!$A$2:$A$35,0))),INDEX('Conversion Range'!$C$2:$C$35,MATCH(D$1,'Conversion Range'!$A$2:$A$35,0))+(('Legend Attributes'!D10-1)/19)*(INDEX('Conversion Range'!$D$2:$D$35,MATCH(D$1,'Conversion Range'!$A$2:$A$35,0))-INDEX('Conversion Range'!$C$2:$C$35,MATCH(D$1,'Conversion Range'!$A$2:$A$35,0)))),3))</f>
        <v>0.48099999999999998</v>
      </c>
      <c r="E10" s="15">
        <f>IF('Legend Attributes'!E10=0,0,ROUND(IF(INDEX('Conversion Range'!$E$2:$E$35,MATCH(E$1,'Conversion Range'!$A$2:$A$35,0))=1,INDEX('Conversion Range'!$D$2:$D$35,MATCH(E$1,'Conversion Range'!$A$2:$A$35,0))-(('Legend Attributes'!E10-1)/19)*(INDEX('Conversion Range'!$D$2:$D$35,MATCH(E$1,'Conversion Range'!$A$2:$A$35,0))-INDEX('Conversion Range'!$C$2:$C$35,MATCH(E$1,'Conversion Range'!$A$2:$A$35,0))),INDEX('Conversion Range'!$C$2:$C$35,MATCH(E$1,'Conversion Range'!$A$2:$A$35,0))+(('Legend Attributes'!E10-1)/19)*(INDEX('Conversion Range'!$D$2:$D$35,MATCH(E$1,'Conversion Range'!$A$2:$A$35,0))-INDEX('Conversion Range'!$C$2:$C$35,MATCH(E$1,'Conversion Range'!$A$2:$A$35,0)))),3))</f>
        <v>0.35099999999999998</v>
      </c>
      <c r="F10" s="15">
        <f>IF('Legend Attributes'!F10=0,0,ROUND(IF(INDEX('Conversion Range'!$E$2:$E$35,MATCH(F$1,'Conversion Range'!$A$2:$A$35,0))=1,INDEX('Conversion Range'!$D$2:$D$35,MATCH(F$1,'Conversion Range'!$A$2:$A$35,0))-(('Legend Attributes'!F10-1)/19)*(INDEX('Conversion Range'!$D$2:$D$35,MATCH(F$1,'Conversion Range'!$A$2:$A$35,0))-INDEX('Conversion Range'!$C$2:$C$35,MATCH(F$1,'Conversion Range'!$A$2:$A$35,0))),INDEX('Conversion Range'!$C$2:$C$35,MATCH(F$1,'Conversion Range'!$A$2:$A$35,0))+(('Legend Attributes'!F10-1)/19)*(INDEX('Conversion Range'!$D$2:$D$35,MATCH(F$1,'Conversion Range'!$A$2:$A$35,0))-INDEX('Conversion Range'!$C$2:$C$35,MATCH(F$1,'Conversion Range'!$A$2:$A$35,0)))),3))</f>
        <v>2.7839999999999998</v>
      </c>
      <c r="G10" s="15">
        <f>IF('Legend Attributes'!G10=0,0,ROUND(IF(INDEX('Conversion Range'!$E$2:$E$35,MATCH(G$1,'Conversion Range'!$A$2:$A$35,0))=1,INDEX('Conversion Range'!$D$2:$D$35,MATCH(G$1,'Conversion Range'!$A$2:$A$35,0))-(('Legend Attributes'!G10-1)/19)*(INDEX('Conversion Range'!$D$2:$D$35,MATCH(G$1,'Conversion Range'!$A$2:$A$35,0))-INDEX('Conversion Range'!$C$2:$C$35,MATCH(G$1,'Conversion Range'!$A$2:$A$35,0))),INDEX('Conversion Range'!$C$2:$C$35,MATCH(G$1,'Conversion Range'!$A$2:$A$35,0))+(('Legend Attributes'!G10-1)/19)*(INDEX('Conversion Range'!$D$2:$D$35,MATCH(G$1,'Conversion Range'!$A$2:$A$35,0))-INDEX('Conversion Range'!$C$2:$C$35,MATCH(G$1,'Conversion Range'!$A$2:$A$35,0)))),3))</f>
        <v>1.482</v>
      </c>
      <c r="H10" s="15">
        <f>IF('Legend Attributes'!H10=0,0,ROUND(IF(INDEX('Conversion Range'!$E$2:$E$35,MATCH(H$1,'Conversion Range'!$A$2:$A$35,0))=1,INDEX('Conversion Range'!$D$2:$D$35,MATCH(H$1,'Conversion Range'!$A$2:$A$35,0))-(('Legend Attributes'!H10-1)/19)*(INDEX('Conversion Range'!$D$2:$D$35,MATCH(H$1,'Conversion Range'!$A$2:$A$35,0))-INDEX('Conversion Range'!$C$2:$C$35,MATCH(H$1,'Conversion Range'!$A$2:$A$35,0))),INDEX('Conversion Range'!$C$2:$C$35,MATCH(H$1,'Conversion Range'!$A$2:$A$35,0))+(('Legend Attributes'!H10-1)/19)*(INDEX('Conversion Range'!$D$2:$D$35,MATCH(H$1,'Conversion Range'!$A$2:$A$35,0))-INDEX('Conversion Range'!$C$2:$C$35,MATCH(H$1,'Conversion Range'!$A$2:$A$35,0)))),3))</f>
        <v>0.63200000000000001</v>
      </c>
      <c r="I10" s="15">
        <f>IF('Legend Attributes'!I10=0,0,ROUND(IF(INDEX('Conversion Range'!$E$2:$E$35,MATCH(I$1,'Conversion Range'!$A$2:$A$35,0))=1,INDEX('Conversion Range'!$D$2:$D$35,MATCH(I$1,'Conversion Range'!$A$2:$A$35,0))-(('Legend Attributes'!I10-1)/19)*(INDEX('Conversion Range'!$D$2:$D$35,MATCH(I$1,'Conversion Range'!$A$2:$A$35,0))-INDEX('Conversion Range'!$C$2:$C$35,MATCH(I$1,'Conversion Range'!$A$2:$A$35,0))),INDEX('Conversion Range'!$C$2:$C$35,MATCH(I$1,'Conversion Range'!$A$2:$A$35,0))+(('Legend Attributes'!I10-1)/19)*(INDEX('Conversion Range'!$D$2:$D$35,MATCH(I$1,'Conversion Range'!$A$2:$A$35,0))-INDEX('Conversion Range'!$C$2:$C$35,MATCH(I$1,'Conversion Range'!$A$2:$A$35,0)))),3))</f>
        <v>1.679</v>
      </c>
      <c r="J10" s="15">
        <f>IF('Legend Attributes'!J10=0,0,ROUND(IF(INDEX('Conversion Range'!$E$2:$E$35,MATCH(J$1,'Conversion Range'!$A$2:$A$35,0))=1,INDEX('Conversion Range'!$D$2:$D$35,MATCH(J$1,'Conversion Range'!$A$2:$A$35,0))-(('Legend Attributes'!J10-1)/19)*(INDEX('Conversion Range'!$D$2:$D$35,MATCH(J$1,'Conversion Range'!$A$2:$A$35,0))-INDEX('Conversion Range'!$C$2:$C$35,MATCH(J$1,'Conversion Range'!$A$2:$A$35,0))),INDEX('Conversion Range'!$C$2:$C$35,MATCH(J$1,'Conversion Range'!$A$2:$A$35,0))+(('Legend Attributes'!J10-1)/19)*(INDEX('Conversion Range'!$D$2:$D$35,MATCH(J$1,'Conversion Range'!$A$2:$A$35,0))-INDEX('Conversion Range'!$C$2:$C$35,MATCH(J$1,'Conversion Range'!$A$2:$A$35,0)))),3))</f>
        <v>1.9950000000000001</v>
      </c>
      <c r="K10" s="15">
        <f>IF('Legend Attributes'!K10=0,0,ROUND(IF(INDEX('Conversion Range'!$E$2:$E$35,MATCH(K$1,'Conversion Range'!$A$2:$A$35,0))=1,INDEX('Conversion Range'!$D$2:$D$35,MATCH(K$1,'Conversion Range'!$A$2:$A$35,0))-(('Legend Attributes'!K10-1)/19)*(INDEX('Conversion Range'!$D$2:$D$35,MATCH(K$1,'Conversion Range'!$A$2:$A$35,0))-INDEX('Conversion Range'!$C$2:$C$35,MATCH(K$1,'Conversion Range'!$A$2:$A$35,0))),INDEX('Conversion Range'!$C$2:$C$35,MATCH(K$1,'Conversion Range'!$A$2:$A$35,0))+(('Legend Attributes'!K10-1)/19)*(INDEX('Conversion Range'!$D$2:$D$35,MATCH(K$1,'Conversion Range'!$A$2:$A$35,0))-INDEX('Conversion Range'!$C$2:$C$35,MATCH(K$1,'Conversion Range'!$A$2:$A$35,0)))),3))</f>
        <v>1.3740000000000001</v>
      </c>
      <c r="L10" s="15">
        <f>IF('Legend Attributes'!L10=0,0,ROUND(IF(INDEX('Conversion Range'!$E$2:$E$35,MATCH(L$1,'Conversion Range'!$A$2:$A$35,0))=1,INDEX('Conversion Range'!$D$2:$D$35,MATCH(L$1,'Conversion Range'!$A$2:$A$35,0))-(('Legend Attributes'!L10-1)/19)*(INDEX('Conversion Range'!$D$2:$D$35,MATCH(L$1,'Conversion Range'!$A$2:$A$35,0))-INDEX('Conversion Range'!$C$2:$C$35,MATCH(L$1,'Conversion Range'!$A$2:$A$35,0))),INDEX('Conversion Range'!$C$2:$C$35,MATCH(L$1,'Conversion Range'!$A$2:$A$35,0))+(('Legend Attributes'!L10-1)/19)*(INDEX('Conversion Range'!$D$2:$D$35,MATCH(L$1,'Conversion Range'!$A$2:$A$35,0))-INDEX('Conversion Range'!$C$2:$C$35,MATCH(L$1,'Conversion Range'!$A$2:$A$35,0)))),3))</f>
        <v>1.6319999999999999</v>
      </c>
      <c r="M10" s="15">
        <f>IF('Legend Attributes'!M10=0,0,ROUND(IF(INDEX('Conversion Range'!$E$2:$E$35,MATCH(M$1,'Conversion Range'!$A$2:$A$35,0))=1,INDEX('Conversion Range'!$D$2:$D$35,MATCH(M$1,'Conversion Range'!$A$2:$A$35,0))-(('Legend Attributes'!M10-1)/19)*(INDEX('Conversion Range'!$D$2:$D$35,MATCH(M$1,'Conversion Range'!$A$2:$A$35,0))-INDEX('Conversion Range'!$C$2:$C$35,MATCH(M$1,'Conversion Range'!$A$2:$A$35,0))),INDEX('Conversion Range'!$C$2:$C$35,MATCH(M$1,'Conversion Range'!$A$2:$A$35,0))+(('Legend Attributes'!M10-1)/19)*(INDEX('Conversion Range'!$D$2:$D$35,MATCH(M$1,'Conversion Range'!$A$2:$A$35,0))-INDEX('Conversion Range'!$C$2:$C$35,MATCH(M$1,'Conversion Range'!$A$2:$A$35,0)))),3))</f>
        <v>0.33700000000000002</v>
      </c>
      <c r="N10" s="15">
        <f>IF('Legend Attributes'!N10=0,0,ROUND(IF(INDEX('Conversion Range'!$E$2:$E$35,MATCH(N$1,'Conversion Range'!$A$2:$A$35,0))=1,INDEX('Conversion Range'!$D$2:$D$35,MATCH(N$1,'Conversion Range'!$A$2:$A$35,0))-(('Legend Attributes'!N10-1)/19)*(INDEX('Conversion Range'!$D$2:$D$35,MATCH(N$1,'Conversion Range'!$A$2:$A$35,0))-INDEX('Conversion Range'!$C$2:$C$35,MATCH(N$1,'Conversion Range'!$A$2:$A$35,0))),INDEX('Conversion Range'!$C$2:$C$35,MATCH(N$1,'Conversion Range'!$A$2:$A$35,0))+(('Legend Attributes'!N10-1)/19)*(INDEX('Conversion Range'!$D$2:$D$35,MATCH(N$1,'Conversion Range'!$A$2:$A$35,0))-INDEX('Conversion Range'!$C$2:$C$35,MATCH(N$1,'Conversion Range'!$A$2:$A$35,0)))),3))</f>
        <v>7.1319999999999997</v>
      </c>
      <c r="O10" s="15">
        <f>IF('Legend Attributes'!O10=0,0,ROUND(IF(INDEX('Conversion Range'!$E$2:$E$35,MATCH(O$1,'Conversion Range'!$A$2:$A$35,0))=1,INDEX('Conversion Range'!$D$2:$D$35,MATCH(O$1,'Conversion Range'!$A$2:$A$35,0))-(('Legend Attributes'!O10-1)/19)*(INDEX('Conversion Range'!$D$2:$D$35,MATCH(O$1,'Conversion Range'!$A$2:$A$35,0))-INDEX('Conversion Range'!$C$2:$C$35,MATCH(O$1,'Conversion Range'!$A$2:$A$35,0))),INDEX('Conversion Range'!$C$2:$C$35,MATCH(O$1,'Conversion Range'!$A$2:$A$35,0))+(('Legend Attributes'!O10-1)/19)*(INDEX('Conversion Range'!$D$2:$D$35,MATCH(O$1,'Conversion Range'!$A$2:$A$35,0))-INDEX('Conversion Range'!$C$2:$C$35,MATCH(O$1,'Conversion Range'!$A$2:$A$35,0)))),3))</f>
        <v>1.405</v>
      </c>
      <c r="P10" s="15">
        <f>IF('Legend Attributes'!P10=0,0,ROUND(IF(INDEX('Conversion Range'!$E$2:$E$35,MATCH(P$1,'Conversion Range'!$A$2:$A$35,0))=1,INDEX('Conversion Range'!$D$2:$D$35,MATCH(P$1,'Conversion Range'!$A$2:$A$35,0))-(('Legend Attributes'!P10-1)/19)*(INDEX('Conversion Range'!$D$2:$D$35,MATCH(P$1,'Conversion Range'!$A$2:$A$35,0))-INDEX('Conversion Range'!$C$2:$C$35,MATCH(P$1,'Conversion Range'!$A$2:$A$35,0))),INDEX('Conversion Range'!$C$2:$C$35,MATCH(P$1,'Conversion Range'!$A$2:$A$35,0))+(('Legend Attributes'!P10-1)/19)*(INDEX('Conversion Range'!$D$2:$D$35,MATCH(P$1,'Conversion Range'!$A$2:$A$35,0))-INDEX('Conversion Range'!$C$2:$C$35,MATCH(P$1,'Conversion Range'!$A$2:$A$35,0)))),3))</f>
        <v>58.947000000000003</v>
      </c>
      <c r="Q10" s="15">
        <f>IF('Legend Attributes'!Q10=0,0,ROUND(IF(INDEX('Conversion Range'!$E$2:$E$35,MATCH(Q$1,'Conversion Range'!$A$2:$A$35,0))=1,INDEX('Conversion Range'!$D$2:$D$35,MATCH(Q$1,'Conversion Range'!$A$2:$A$35,0))-(('Legend Attributes'!Q10-1)/19)*(INDEX('Conversion Range'!$D$2:$D$35,MATCH(Q$1,'Conversion Range'!$A$2:$A$35,0))-INDEX('Conversion Range'!$C$2:$C$35,MATCH(Q$1,'Conversion Range'!$A$2:$A$35,0))),INDEX('Conversion Range'!$C$2:$C$35,MATCH(Q$1,'Conversion Range'!$A$2:$A$35,0))+(('Legend Attributes'!Q10-1)/19)*(INDEX('Conversion Range'!$D$2:$D$35,MATCH(Q$1,'Conversion Range'!$A$2:$A$35,0))-INDEX('Conversion Range'!$C$2:$C$35,MATCH(Q$1,'Conversion Range'!$A$2:$A$35,0)))),3))</f>
        <v>57.579000000000001</v>
      </c>
      <c r="R10" s="15">
        <f>IF('Legend Attributes'!R10=0,0,ROUND(IF(INDEX('Conversion Range'!$E$2:$E$35,MATCH(R$1,'Conversion Range'!$A$2:$A$35,0))=1,INDEX('Conversion Range'!$D$2:$D$35,MATCH(R$1,'Conversion Range'!$A$2:$A$35,0))-(('Legend Attributes'!R10-1)/19)*(INDEX('Conversion Range'!$D$2:$D$35,MATCH(R$1,'Conversion Range'!$A$2:$A$35,0))-INDEX('Conversion Range'!$C$2:$C$35,MATCH(R$1,'Conversion Range'!$A$2:$A$35,0))),INDEX('Conversion Range'!$C$2:$C$35,MATCH(R$1,'Conversion Range'!$A$2:$A$35,0))+(('Legend Attributes'!R10-1)/19)*(INDEX('Conversion Range'!$D$2:$D$35,MATCH(R$1,'Conversion Range'!$A$2:$A$35,0))-INDEX('Conversion Range'!$C$2:$C$35,MATCH(R$1,'Conversion Range'!$A$2:$A$35,0)))),3))</f>
        <v>82.367999999999995</v>
      </c>
      <c r="S10" s="15">
        <f>IF('Legend Attributes'!S10=0,0,ROUND(IF(INDEX('Conversion Range'!$E$2:$E$35,MATCH(S$1,'Conversion Range'!$A$2:$A$35,0))=1,INDEX('Conversion Range'!$D$2:$D$35,MATCH(S$1,'Conversion Range'!$A$2:$A$35,0))-(('Legend Attributes'!S10-1)/19)*(INDEX('Conversion Range'!$D$2:$D$35,MATCH(S$1,'Conversion Range'!$A$2:$A$35,0))-INDEX('Conversion Range'!$C$2:$C$35,MATCH(S$1,'Conversion Range'!$A$2:$A$35,0))),INDEX('Conversion Range'!$C$2:$C$35,MATCH(S$1,'Conversion Range'!$A$2:$A$35,0))+(('Legend Attributes'!S10-1)/19)*(INDEX('Conversion Range'!$D$2:$D$35,MATCH(S$1,'Conversion Range'!$A$2:$A$35,0))-INDEX('Conversion Range'!$C$2:$C$35,MATCH(S$1,'Conversion Range'!$A$2:$A$35,0)))),3))</f>
        <v>4.6159999999999997</v>
      </c>
      <c r="T10" s="15">
        <f>IF('Legend Attributes'!T10=0,0,ROUND(IF(INDEX('Conversion Range'!$E$2:$E$35,MATCH(T$1,'Conversion Range'!$A$2:$A$35,0))=1,INDEX('Conversion Range'!$D$2:$D$35,MATCH(T$1,'Conversion Range'!$A$2:$A$35,0))-(('Legend Attributes'!T10-1)/19)*(INDEX('Conversion Range'!$D$2:$D$35,MATCH(T$1,'Conversion Range'!$A$2:$A$35,0))-INDEX('Conversion Range'!$C$2:$C$35,MATCH(T$1,'Conversion Range'!$A$2:$A$35,0))),INDEX('Conversion Range'!$C$2:$C$35,MATCH(T$1,'Conversion Range'!$A$2:$A$35,0))+(('Legend Attributes'!T10-1)/19)*(INDEX('Conversion Range'!$D$2:$D$35,MATCH(T$1,'Conversion Range'!$A$2:$A$35,0))-INDEX('Conversion Range'!$C$2:$C$35,MATCH(T$1,'Conversion Range'!$A$2:$A$35,0)))),3))</f>
        <v>54.420999999999999</v>
      </c>
      <c r="U10" s="15">
        <f>IF('Legend Attributes'!U10=0,0,ROUND(IF(INDEX('Conversion Range'!$E$2:$E$35,MATCH(U$1,'Conversion Range'!$A$2:$A$35,0))=1,INDEX('Conversion Range'!$D$2:$D$35,MATCH(U$1,'Conversion Range'!$A$2:$A$35,0))-(('Legend Attributes'!U10-1)/19)*(INDEX('Conversion Range'!$D$2:$D$35,MATCH(U$1,'Conversion Range'!$A$2:$A$35,0))-INDEX('Conversion Range'!$C$2:$C$35,MATCH(U$1,'Conversion Range'!$A$2:$A$35,0))),INDEX('Conversion Range'!$C$2:$C$35,MATCH(U$1,'Conversion Range'!$A$2:$A$35,0))+(('Legend Attributes'!U10-1)/19)*(INDEX('Conversion Range'!$D$2:$D$35,MATCH(U$1,'Conversion Range'!$A$2:$A$35,0))-INDEX('Conversion Range'!$C$2:$C$35,MATCH(U$1,'Conversion Range'!$A$2:$A$35,0)))),3))</f>
        <v>2.7629999999999999</v>
      </c>
      <c r="V10" s="15">
        <f>IF('Legend Attributes'!V10=0,0,ROUND(IF(INDEX('Conversion Range'!$E$2:$E$35,MATCH(V$1,'Conversion Range'!$A$2:$A$35,0))=1,INDEX('Conversion Range'!$D$2:$D$35,MATCH(V$1,'Conversion Range'!$A$2:$A$35,0))-(('Legend Attributes'!V10-1)/19)*(INDEX('Conversion Range'!$D$2:$D$35,MATCH(V$1,'Conversion Range'!$A$2:$A$35,0))-INDEX('Conversion Range'!$C$2:$C$35,MATCH(V$1,'Conversion Range'!$A$2:$A$35,0))),INDEX('Conversion Range'!$C$2:$C$35,MATCH(V$1,'Conversion Range'!$A$2:$A$35,0))+(('Legend Attributes'!V10-1)/19)*(INDEX('Conversion Range'!$D$2:$D$35,MATCH(V$1,'Conversion Range'!$A$2:$A$35,0))-INDEX('Conversion Range'!$C$2:$C$35,MATCH(V$1,'Conversion Range'!$A$2:$A$35,0)))),3))</f>
        <v>53.683999999999997</v>
      </c>
      <c r="W10" s="15">
        <f>IF('Legend Attributes'!W10=0,0,ROUND(IF(INDEX('Conversion Range'!$E$2:$E$35,MATCH(W$1,'Conversion Range'!$A$2:$A$35,0))=1,INDEX('Conversion Range'!$D$2:$D$35,MATCH(W$1,'Conversion Range'!$A$2:$A$35,0))-(('Legend Attributes'!W10-1)/19)*(INDEX('Conversion Range'!$D$2:$D$35,MATCH(W$1,'Conversion Range'!$A$2:$A$35,0))-INDEX('Conversion Range'!$C$2:$C$35,MATCH(W$1,'Conversion Range'!$A$2:$A$35,0))),INDEX('Conversion Range'!$C$2:$C$35,MATCH(W$1,'Conversion Range'!$A$2:$A$35,0))+(('Legend Attributes'!W10-1)/19)*(INDEX('Conversion Range'!$D$2:$D$35,MATCH(W$1,'Conversion Range'!$A$2:$A$35,0))-INDEX('Conversion Range'!$C$2:$C$35,MATCH(W$1,'Conversion Range'!$A$2:$A$35,0)))),3))</f>
        <v>0.28899999999999998</v>
      </c>
      <c r="X10" s="15">
        <f>IF('Legend Attributes'!X10=0,0,ROUND(IF(INDEX('Conversion Range'!$E$2:$E$35,MATCH(X$1,'Conversion Range'!$A$2:$A$35,0))=1,INDEX('Conversion Range'!$D$2:$D$35,MATCH(X$1,'Conversion Range'!$A$2:$A$35,0))-(('Legend Attributes'!X10-1)/19)*(INDEX('Conversion Range'!$D$2:$D$35,MATCH(X$1,'Conversion Range'!$A$2:$A$35,0))-INDEX('Conversion Range'!$C$2:$C$35,MATCH(X$1,'Conversion Range'!$A$2:$A$35,0))),INDEX('Conversion Range'!$C$2:$C$35,MATCH(X$1,'Conversion Range'!$A$2:$A$35,0))+(('Legend Attributes'!X10-1)/19)*(INDEX('Conversion Range'!$D$2:$D$35,MATCH(X$1,'Conversion Range'!$A$2:$A$35,0))-INDEX('Conversion Range'!$C$2:$C$35,MATCH(X$1,'Conversion Range'!$A$2:$A$35,0)))),3))</f>
        <v>0.753</v>
      </c>
      <c r="Y10" s="15">
        <f>IF('Legend Attributes'!Y10=0,0,ROUND(IF(INDEX('Conversion Range'!$E$2:$E$35,MATCH(Y$1,'Conversion Range'!$A$2:$A$35,0))=1,INDEX('Conversion Range'!$D$2:$D$35,MATCH(Y$1,'Conversion Range'!$A$2:$A$35,0))-(('Legend Attributes'!Y10-1)/19)*(INDEX('Conversion Range'!$D$2:$D$35,MATCH(Y$1,'Conversion Range'!$A$2:$A$35,0))-INDEX('Conversion Range'!$C$2:$C$35,MATCH(Y$1,'Conversion Range'!$A$2:$A$35,0))),INDEX('Conversion Range'!$C$2:$C$35,MATCH(Y$1,'Conversion Range'!$A$2:$A$35,0))+(('Legend Attributes'!Y10-1)/19)*(INDEX('Conversion Range'!$D$2:$D$35,MATCH(Y$1,'Conversion Range'!$A$2:$A$35,0))-INDEX('Conversion Range'!$C$2:$C$35,MATCH(Y$1,'Conversion Range'!$A$2:$A$35,0)))),3))</f>
        <v>0.47399999999999998</v>
      </c>
      <c r="Z10" s="15">
        <f>IF('Legend Attributes'!Z10=0,0,ROUND(IF(INDEX('Conversion Range'!$E$2:$E$35,MATCH(Z$1,'Conversion Range'!$A$2:$A$35,0))=1,INDEX('Conversion Range'!$D$2:$D$35,MATCH(Z$1,'Conversion Range'!$A$2:$A$35,0))-(('Legend Attributes'!Z10-1)/19)*(INDEX('Conversion Range'!$D$2:$D$35,MATCH(Z$1,'Conversion Range'!$A$2:$A$35,0))-INDEX('Conversion Range'!$C$2:$C$35,MATCH(Z$1,'Conversion Range'!$A$2:$A$35,0))),INDEX('Conversion Range'!$C$2:$C$35,MATCH(Z$1,'Conversion Range'!$A$2:$A$35,0))+(('Legend Attributes'!Z10-1)/19)*(INDEX('Conversion Range'!$D$2:$D$35,MATCH(Z$1,'Conversion Range'!$A$2:$A$35,0))-INDEX('Conversion Range'!$C$2:$C$35,MATCH(Z$1,'Conversion Range'!$A$2:$A$35,0)))),3))</f>
        <v>9.4209999999999994</v>
      </c>
      <c r="AA10" s="15">
        <f>IF('Legend Attributes'!AA10=0,0,ROUND(IF(INDEX('Conversion Range'!$E$2:$E$35,MATCH(AA$1,'Conversion Range'!$A$2:$A$35,0))=1,INDEX('Conversion Range'!$D$2:$D$35,MATCH(AA$1,'Conversion Range'!$A$2:$A$35,0))-(('Legend Attributes'!AA10-1)/19)*(INDEX('Conversion Range'!$D$2:$D$35,MATCH(AA$1,'Conversion Range'!$A$2:$A$35,0))-INDEX('Conversion Range'!$C$2:$C$35,MATCH(AA$1,'Conversion Range'!$A$2:$A$35,0))),INDEX('Conversion Range'!$C$2:$C$35,MATCH(AA$1,'Conversion Range'!$A$2:$A$35,0))+(('Legend Attributes'!AA10-1)/19)*(INDEX('Conversion Range'!$D$2:$D$35,MATCH(AA$1,'Conversion Range'!$A$2:$A$35,0))-INDEX('Conversion Range'!$C$2:$C$35,MATCH(AA$1,'Conversion Range'!$A$2:$A$35,0)))),3))</f>
        <v>0.20300000000000001</v>
      </c>
      <c r="AB10" s="15">
        <f>IF('Legend Attributes'!AB10=0,0,ROUND(IF(INDEX('Conversion Range'!$E$2:$E$35,MATCH(AB$1,'Conversion Range'!$A$2:$A$35,0))=1,INDEX('Conversion Range'!$D$2:$D$35,MATCH(AB$1,'Conversion Range'!$A$2:$A$35,0))-(('Legend Attributes'!AB10-1)/19)*(INDEX('Conversion Range'!$D$2:$D$35,MATCH(AB$1,'Conversion Range'!$A$2:$A$35,0))-INDEX('Conversion Range'!$C$2:$C$35,MATCH(AB$1,'Conversion Range'!$A$2:$A$35,0))),INDEX('Conversion Range'!$C$2:$C$35,MATCH(AB$1,'Conversion Range'!$A$2:$A$35,0))+(('Legend Attributes'!AB10-1)/19)*(INDEX('Conversion Range'!$D$2:$D$35,MATCH(AB$1,'Conversion Range'!$A$2:$A$35,0))-INDEX('Conversion Range'!$C$2:$C$35,MATCH(AB$1,'Conversion Range'!$A$2:$A$35,0)))),3))</f>
        <v>0.71299999999999997</v>
      </c>
      <c r="AC10" s="15">
        <f>IF('Legend Attributes'!AC10=0,0,ROUND(IF(INDEX('Conversion Range'!$E$2:$E$35,MATCH(AC$1,'Conversion Range'!$A$2:$A$35,0))=1,INDEX('Conversion Range'!$D$2:$D$35,MATCH(AC$1,'Conversion Range'!$A$2:$A$35,0))-(('Legend Attributes'!AC10-1)/19)*(INDEX('Conversion Range'!$D$2:$D$35,MATCH(AC$1,'Conversion Range'!$A$2:$A$35,0))-INDEX('Conversion Range'!$C$2:$C$35,MATCH(AC$1,'Conversion Range'!$A$2:$A$35,0))),INDEX('Conversion Range'!$C$2:$C$35,MATCH(AC$1,'Conversion Range'!$A$2:$A$35,0))+(('Legend Attributes'!AC10-1)/19)*(INDEX('Conversion Range'!$D$2:$D$35,MATCH(AC$1,'Conversion Range'!$A$2:$A$35,0))-INDEX('Conversion Range'!$C$2:$C$35,MATCH(AC$1,'Conversion Range'!$A$2:$A$35,0)))),3))</f>
        <v>0.41299999999999998</v>
      </c>
      <c r="AD10" s="15">
        <f>IF('Legend Attributes'!AD10=0,0,ROUND(IF(INDEX('Conversion Range'!$E$2:$E$35,MATCH(AD$1,'Conversion Range'!$A$2:$A$35,0))=1,INDEX('Conversion Range'!$D$2:$D$35,MATCH(AD$1,'Conversion Range'!$A$2:$A$35,0))-(('Legend Attributes'!AD10-1)/19)*(INDEX('Conversion Range'!$D$2:$D$35,MATCH(AD$1,'Conversion Range'!$A$2:$A$35,0))-INDEX('Conversion Range'!$C$2:$C$35,MATCH(AD$1,'Conversion Range'!$A$2:$A$35,0))),INDEX('Conversion Range'!$C$2:$C$35,MATCH(AD$1,'Conversion Range'!$A$2:$A$35,0))+(('Legend Attributes'!AD10-1)/19)*(INDEX('Conversion Range'!$D$2:$D$35,MATCH(AD$1,'Conversion Range'!$A$2:$A$35,0))-INDEX('Conversion Range'!$C$2:$C$35,MATCH(AD$1,'Conversion Range'!$A$2:$A$35,0)))),3))</f>
        <v>0</v>
      </c>
      <c r="AE10" s="15">
        <f>IF('Legend Attributes'!AE10=0,0,ROUND(IF(INDEX('Conversion Range'!$E$2:$E$35,MATCH(AE$1,'Conversion Range'!$A$2:$A$35,0))=1,INDEX('Conversion Range'!$D$2:$D$35,MATCH(AE$1,'Conversion Range'!$A$2:$A$35,0))-(('Legend Attributes'!AE10-1)/19)*(INDEX('Conversion Range'!$D$2:$D$35,MATCH(AE$1,'Conversion Range'!$A$2:$A$35,0))-INDEX('Conversion Range'!$C$2:$C$35,MATCH(AE$1,'Conversion Range'!$A$2:$A$35,0))),INDEX('Conversion Range'!$C$2:$C$35,MATCH(AE$1,'Conversion Range'!$A$2:$A$35,0))+(('Legend Attributes'!AE10-1)/19)*(INDEX('Conversion Range'!$D$2:$D$35,MATCH(AE$1,'Conversion Range'!$A$2:$A$35,0))-INDEX('Conversion Range'!$C$2:$C$35,MATCH(AE$1,'Conversion Range'!$A$2:$A$35,0)))),3))</f>
        <v>0</v>
      </c>
      <c r="AF10" s="15">
        <f>IF('Legend Attributes'!AF10=0,0,ROUND(IF(INDEX('Conversion Range'!$E$2:$E$35,MATCH(AF$1,'Conversion Range'!$A$2:$A$35,0))=1,INDEX('Conversion Range'!$D$2:$D$35,MATCH(AF$1,'Conversion Range'!$A$2:$A$35,0))-(('Legend Attributes'!AF10-1)/19)*(INDEX('Conversion Range'!$D$2:$D$35,MATCH(AF$1,'Conversion Range'!$A$2:$A$35,0))-INDEX('Conversion Range'!$C$2:$C$35,MATCH(AF$1,'Conversion Range'!$A$2:$A$35,0))),INDEX('Conversion Range'!$C$2:$C$35,MATCH(AF$1,'Conversion Range'!$A$2:$A$35,0))+(('Legend Attributes'!AF10-1)/19)*(INDEX('Conversion Range'!$D$2:$D$35,MATCH(AF$1,'Conversion Range'!$A$2:$A$35,0))-INDEX('Conversion Range'!$C$2:$C$35,MATCH(AF$1,'Conversion Range'!$A$2:$A$35,0)))),3))</f>
        <v>0</v>
      </c>
      <c r="AG10" s="15">
        <f>IF('Legend Attributes'!AG10=0,0,ROUND(IF(INDEX('Conversion Range'!$E$2:$E$35,MATCH(AG$1,'Conversion Range'!$A$2:$A$35,0))=1,INDEX('Conversion Range'!$D$2:$D$35,MATCH(AG$1,'Conversion Range'!$A$2:$A$35,0))-(('Legend Attributes'!AG10-1)/19)*(INDEX('Conversion Range'!$D$2:$D$35,MATCH(AG$1,'Conversion Range'!$A$2:$A$35,0))-INDEX('Conversion Range'!$C$2:$C$35,MATCH(AG$1,'Conversion Range'!$A$2:$A$35,0))),INDEX('Conversion Range'!$C$2:$C$35,MATCH(AG$1,'Conversion Range'!$A$2:$A$35,0))+(('Legend Attributes'!AG10-1)/19)*(INDEX('Conversion Range'!$D$2:$D$35,MATCH(AG$1,'Conversion Range'!$A$2:$A$35,0))-INDEX('Conversion Range'!$C$2:$C$35,MATCH(AG$1,'Conversion Range'!$A$2:$A$35,0)))),3))</f>
        <v>1.2889999999999999</v>
      </c>
      <c r="AH10" s="15">
        <f>IF('Legend Attributes'!AH10=0,0,ROUND(IF(INDEX('Conversion Range'!$E$2:$E$35,MATCH(AH$1,'Conversion Range'!$A$2:$A$35,0))=1,INDEX('Conversion Range'!$D$2:$D$35,MATCH(AH$1,'Conversion Range'!$A$2:$A$35,0))-(('Legend Attributes'!AH10-1)/19)*(INDEX('Conversion Range'!$D$2:$D$35,MATCH(AH$1,'Conversion Range'!$A$2:$A$35,0))-INDEX('Conversion Range'!$C$2:$C$35,MATCH(AH$1,'Conversion Range'!$A$2:$A$35,0))),INDEX('Conversion Range'!$C$2:$C$35,MATCH(AH$1,'Conversion Range'!$A$2:$A$35,0))+(('Legend Attributes'!AH10-1)/19)*(INDEX('Conversion Range'!$D$2:$D$35,MATCH(AH$1,'Conversion Range'!$A$2:$A$35,0))-INDEX('Conversion Range'!$C$2:$C$35,MATCH(AH$1,'Conversion Range'!$A$2:$A$35,0)))),3))</f>
        <v>0.26900000000000002</v>
      </c>
      <c r="AI10" s="15">
        <f>IF('Legend Attributes'!AI10=0,0,ROUND(IF(INDEX('Conversion Range'!$E$2:$E$35,MATCH(AI$1,'Conversion Range'!$A$2:$A$35,0))=1,INDEX('Conversion Range'!$D$2:$D$35,MATCH(AI$1,'Conversion Range'!$A$2:$A$35,0))-(('Legend Attributes'!AI10-1)/19)*(INDEX('Conversion Range'!$D$2:$D$35,MATCH(AI$1,'Conversion Range'!$A$2:$A$35,0))-INDEX('Conversion Range'!$C$2:$C$35,MATCH(AI$1,'Conversion Range'!$A$2:$A$35,0))),INDEX('Conversion Range'!$C$2:$C$35,MATCH(AI$1,'Conversion Range'!$A$2:$A$35,0))+(('Legend Attributes'!AI10-1)/19)*(INDEX('Conversion Range'!$D$2:$D$35,MATCH(AI$1,'Conversion Range'!$A$2:$A$35,0))-INDEX('Conversion Range'!$C$2:$C$35,MATCH(AI$1,'Conversion Range'!$A$2:$A$35,0)))),3))</f>
        <v>6.3E-2</v>
      </c>
      <c r="AJ10" s="15">
        <f>IF('Legend Attributes'!AJ10=0,0,ROUND(IF(INDEX('Conversion Range'!$E$2:$E$35,MATCH(AJ$1,'Conversion Range'!$A$2:$A$35,0))=1,INDEX('Conversion Range'!$D$2:$D$35,MATCH(AJ$1,'Conversion Range'!$A$2:$A$35,0))-(('Legend Attributes'!AJ10-1)/19)*(INDEX('Conversion Range'!$D$2:$D$35,MATCH(AJ$1,'Conversion Range'!$A$2:$A$35,0))-INDEX('Conversion Range'!$C$2:$C$35,MATCH(AJ$1,'Conversion Range'!$A$2:$A$35,0))),INDEX('Conversion Range'!$C$2:$C$35,MATCH(AJ$1,'Conversion Range'!$A$2:$A$35,0))+(('Legend Attributes'!AJ10-1)/19)*(INDEX('Conversion Range'!$D$2:$D$35,MATCH(AJ$1,'Conversion Range'!$A$2:$A$35,0))-INDEX('Conversion Range'!$C$2:$C$35,MATCH(AJ$1,'Conversion Range'!$A$2:$A$35,0)))),3))</f>
        <v>7.9160000000000004</v>
      </c>
    </row>
    <row r="11" spans="1:36" x14ac:dyDescent="0.35">
      <c r="A11" s="14" t="str">
        <f>'Legend Attributes'!A11</f>
        <v>Andrea Pirlo</v>
      </c>
      <c r="B11" s="15" t="str">
        <f>'Legend Attributes'!B11</f>
        <v>DM</v>
      </c>
      <c r="C11" s="15">
        <f>IF('Legend Attributes'!C11=0,0,ROUND(IF(INDEX('Conversion Range'!$E$2:$E$35,MATCH(C$1,'Conversion Range'!$A$2:$A$35,0))=1,INDEX('Conversion Range'!$D$2:$D$35,MATCH(C$1,'Conversion Range'!$A$2:$A$35,0))-(('Legend Attributes'!C11-1)/19)*(INDEX('Conversion Range'!$D$2:$D$35,MATCH(C$1,'Conversion Range'!$A$2:$A$35,0))-INDEX('Conversion Range'!$C$2:$C$35,MATCH(C$1,'Conversion Range'!$A$2:$A$35,0))),INDEX('Conversion Range'!$C$2:$C$35,MATCH(C$1,'Conversion Range'!$A$2:$A$35,0))+(('Legend Attributes'!C11-1)/19)*(INDEX('Conversion Range'!$D$2:$D$35,MATCH(C$1,'Conversion Range'!$A$2:$A$35,0))-INDEX('Conversion Range'!$C$2:$C$35,MATCH(C$1,'Conversion Range'!$A$2:$A$35,0)))),3))</f>
        <v>0.151</v>
      </c>
      <c r="D11" s="15">
        <f>IF('Legend Attributes'!D11=0,0,ROUND(IF(INDEX('Conversion Range'!$E$2:$E$35,MATCH(D$1,'Conversion Range'!$A$2:$A$35,0))=1,INDEX('Conversion Range'!$D$2:$D$35,MATCH(D$1,'Conversion Range'!$A$2:$A$35,0))-(('Legend Attributes'!D11-1)/19)*(INDEX('Conversion Range'!$D$2:$D$35,MATCH(D$1,'Conversion Range'!$A$2:$A$35,0))-INDEX('Conversion Range'!$C$2:$C$35,MATCH(D$1,'Conversion Range'!$A$2:$A$35,0))),INDEX('Conversion Range'!$C$2:$C$35,MATCH(D$1,'Conversion Range'!$A$2:$A$35,0))+(('Legend Attributes'!D11-1)/19)*(INDEX('Conversion Range'!$D$2:$D$35,MATCH(D$1,'Conversion Range'!$A$2:$A$35,0))-INDEX('Conversion Range'!$C$2:$C$35,MATCH(D$1,'Conversion Range'!$A$2:$A$35,0)))),3))</f>
        <v>0.13500000000000001</v>
      </c>
      <c r="E11" s="15">
        <f>IF('Legend Attributes'!E11=0,0,ROUND(IF(INDEX('Conversion Range'!$E$2:$E$35,MATCH(E$1,'Conversion Range'!$A$2:$A$35,0))=1,INDEX('Conversion Range'!$D$2:$D$35,MATCH(E$1,'Conversion Range'!$A$2:$A$35,0))-(('Legend Attributes'!E11-1)/19)*(INDEX('Conversion Range'!$D$2:$D$35,MATCH(E$1,'Conversion Range'!$A$2:$A$35,0))-INDEX('Conversion Range'!$C$2:$C$35,MATCH(E$1,'Conversion Range'!$A$2:$A$35,0))),INDEX('Conversion Range'!$C$2:$C$35,MATCH(E$1,'Conversion Range'!$A$2:$A$35,0))+(('Legend Attributes'!E11-1)/19)*(INDEX('Conversion Range'!$D$2:$D$35,MATCH(E$1,'Conversion Range'!$A$2:$A$35,0))-INDEX('Conversion Range'!$C$2:$C$35,MATCH(E$1,'Conversion Range'!$A$2:$A$35,0)))),3))</f>
        <v>0.379</v>
      </c>
      <c r="F11" s="15">
        <f>IF('Legend Attributes'!F11=0,0,ROUND(IF(INDEX('Conversion Range'!$E$2:$E$35,MATCH(F$1,'Conversion Range'!$A$2:$A$35,0))=1,INDEX('Conversion Range'!$D$2:$D$35,MATCH(F$1,'Conversion Range'!$A$2:$A$35,0))-(('Legend Attributes'!F11-1)/19)*(INDEX('Conversion Range'!$D$2:$D$35,MATCH(F$1,'Conversion Range'!$A$2:$A$35,0))-INDEX('Conversion Range'!$C$2:$C$35,MATCH(F$1,'Conversion Range'!$A$2:$A$35,0))),INDEX('Conversion Range'!$C$2:$C$35,MATCH(F$1,'Conversion Range'!$A$2:$A$35,0))+(('Legend Attributes'!F11-1)/19)*(INDEX('Conversion Range'!$D$2:$D$35,MATCH(F$1,'Conversion Range'!$A$2:$A$35,0))-INDEX('Conversion Range'!$C$2:$C$35,MATCH(F$1,'Conversion Range'!$A$2:$A$35,0)))),3))</f>
        <v>1.163</v>
      </c>
      <c r="G11" s="15">
        <f>IF('Legend Attributes'!G11=0,0,ROUND(IF(INDEX('Conversion Range'!$E$2:$E$35,MATCH(G$1,'Conversion Range'!$A$2:$A$35,0))=1,INDEX('Conversion Range'!$D$2:$D$35,MATCH(G$1,'Conversion Range'!$A$2:$A$35,0))-(('Legend Attributes'!G11-1)/19)*(INDEX('Conversion Range'!$D$2:$D$35,MATCH(G$1,'Conversion Range'!$A$2:$A$35,0))-INDEX('Conversion Range'!$C$2:$C$35,MATCH(G$1,'Conversion Range'!$A$2:$A$35,0))),INDEX('Conversion Range'!$C$2:$C$35,MATCH(G$1,'Conversion Range'!$A$2:$A$35,0))+(('Legend Attributes'!G11-1)/19)*(INDEX('Conversion Range'!$D$2:$D$35,MATCH(G$1,'Conversion Range'!$A$2:$A$35,0))-INDEX('Conversion Range'!$C$2:$C$35,MATCH(G$1,'Conversion Range'!$A$2:$A$35,0)))),3))</f>
        <v>0.54700000000000004</v>
      </c>
      <c r="H11" s="15">
        <f>IF('Legend Attributes'!H11=0,0,ROUND(IF(INDEX('Conversion Range'!$E$2:$E$35,MATCH(H$1,'Conversion Range'!$A$2:$A$35,0))=1,INDEX('Conversion Range'!$D$2:$D$35,MATCH(H$1,'Conversion Range'!$A$2:$A$35,0))-(('Legend Attributes'!H11-1)/19)*(INDEX('Conversion Range'!$D$2:$D$35,MATCH(H$1,'Conversion Range'!$A$2:$A$35,0))-INDEX('Conversion Range'!$C$2:$C$35,MATCH(H$1,'Conversion Range'!$A$2:$A$35,0))),INDEX('Conversion Range'!$C$2:$C$35,MATCH(H$1,'Conversion Range'!$A$2:$A$35,0))+(('Legend Attributes'!H11-1)/19)*(INDEX('Conversion Range'!$D$2:$D$35,MATCH(H$1,'Conversion Range'!$A$2:$A$35,0))-INDEX('Conversion Range'!$C$2:$C$35,MATCH(H$1,'Conversion Range'!$A$2:$A$35,0)))),3))</f>
        <v>0.21099999999999999</v>
      </c>
      <c r="I11" s="15">
        <f>IF('Legend Attributes'!I11=0,0,ROUND(IF(INDEX('Conversion Range'!$E$2:$E$35,MATCH(I$1,'Conversion Range'!$A$2:$A$35,0))=1,INDEX('Conversion Range'!$D$2:$D$35,MATCH(I$1,'Conversion Range'!$A$2:$A$35,0))-(('Legend Attributes'!I11-1)/19)*(INDEX('Conversion Range'!$D$2:$D$35,MATCH(I$1,'Conversion Range'!$A$2:$A$35,0))-INDEX('Conversion Range'!$C$2:$C$35,MATCH(I$1,'Conversion Range'!$A$2:$A$35,0))),INDEX('Conversion Range'!$C$2:$C$35,MATCH(I$1,'Conversion Range'!$A$2:$A$35,0))+(('Legend Attributes'!I11-1)/19)*(INDEX('Conversion Range'!$D$2:$D$35,MATCH(I$1,'Conversion Range'!$A$2:$A$35,0))-INDEX('Conversion Range'!$C$2:$C$35,MATCH(I$1,'Conversion Range'!$A$2:$A$35,0)))),3))</f>
        <v>2.0739999999999998</v>
      </c>
      <c r="J11" s="15">
        <f>IF('Legend Attributes'!J11=0,0,ROUND(IF(INDEX('Conversion Range'!$E$2:$E$35,MATCH(J$1,'Conversion Range'!$A$2:$A$35,0))=1,INDEX('Conversion Range'!$D$2:$D$35,MATCH(J$1,'Conversion Range'!$A$2:$A$35,0))-(('Legend Attributes'!J11-1)/19)*(INDEX('Conversion Range'!$D$2:$D$35,MATCH(J$1,'Conversion Range'!$A$2:$A$35,0))-INDEX('Conversion Range'!$C$2:$C$35,MATCH(J$1,'Conversion Range'!$A$2:$A$35,0))),INDEX('Conversion Range'!$C$2:$C$35,MATCH(J$1,'Conversion Range'!$A$2:$A$35,0))+(('Legend Attributes'!J11-1)/19)*(INDEX('Conversion Range'!$D$2:$D$35,MATCH(J$1,'Conversion Range'!$A$2:$A$35,0))-INDEX('Conversion Range'!$C$2:$C$35,MATCH(J$1,'Conversion Range'!$A$2:$A$35,0)))),3))</f>
        <v>1.179</v>
      </c>
      <c r="K11" s="15">
        <f>IF('Legend Attributes'!K11=0,0,ROUND(IF(INDEX('Conversion Range'!$E$2:$E$35,MATCH(K$1,'Conversion Range'!$A$2:$A$35,0))=1,INDEX('Conversion Range'!$D$2:$D$35,MATCH(K$1,'Conversion Range'!$A$2:$A$35,0))-(('Legend Attributes'!K11-1)/19)*(INDEX('Conversion Range'!$D$2:$D$35,MATCH(K$1,'Conversion Range'!$A$2:$A$35,0))-INDEX('Conversion Range'!$C$2:$C$35,MATCH(K$1,'Conversion Range'!$A$2:$A$35,0))),INDEX('Conversion Range'!$C$2:$C$35,MATCH(K$1,'Conversion Range'!$A$2:$A$35,0))+(('Legend Attributes'!K11-1)/19)*(INDEX('Conversion Range'!$D$2:$D$35,MATCH(K$1,'Conversion Range'!$A$2:$A$35,0))-INDEX('Conversion Range'!$C$2:$C$35,MATCH(K$1,'Conversion Range'!$A$2:$A$35,0)))),3))</f>
        <v>1.258</v>
      </c>
      <c r="L11" s="15">
        <f>IF('Legend Attributes'!L11=0,0,ROUND(IF(INDEX('Conversion Range'!$E$2:$E$35,MATCH(L$1,'Conversion Range'!$A$2:$A$35,0))=1,INDEX('Conversion Range'!$D$2:$D$35,MATCH(L$1,'Conversion Range'!$A$2:$A$35,0))-(('Legend Attributes'!L11-1)/19)*(INDEX('Conversion Range'!$D$2:$D$35,MATCH(L$1,'Conversion Range'!$A$2:$A$35,0))-INDEX('Conversion Range'!$C$2:$C$35,MATCH(L$1,'Conversion Range'!$A$2:$A$35,0))),INDEX('Conversion Range'!$C$2:$C$35,MATCH(L$1,'Conversion Range'!$A$2:$A$35,0))+(('Legend Attributes'!L11-1)/19)*(INDEX('Conversion Range'!$D$2:$D$35,MATCH(L$1,'Conversion Range'!$A$2:$A$35,0))-INDEX('Conversion Range'!$C$2:$C$35,MATCH(L$1,'Conversion Range'!$A$2:$A$35,0)))),3))</f>
        <v>0.65300000000000002</v>
      </c>
      <c r="M11" s="15">
        <f>IF('Legend Attributes'!M11=0,0,ROUND(IF(INDEX('Conversion Range'!$E$2:$E$35,MATCH(M$1,'Conversion Range'!$A$2:$A$35,0))=1,INDEX('Conversion Range'!$D$2:$D$35,MATCH(M$1,'Conversion Range'!$A$2:$A$35,0))-(('Legend Attributes'!M11-1)/19)*(INDEX('Conversion Range'!$D$2:$D$35,MATCH(M$1,'Conversion Range'!$A$2:$A$35,0))-INDEX('Conversion Range'!$C$2:$C$35,MATCH(M$1,'Conversion Range'!$A$2:$A$35,0))),INDEX('Conversion Range'!$C$2:$C$35,MATCH(M$1,'Conversion Range'!$A$2:$A$35,0))+(('Legend Attributes'!M11-1)/19)*(INDEX('Conversion Range'!$D$2:$D$35,MATCH(M$1,'Conversion Range'!$A$2:$A$35,0))-INDEX('Conversion Range'!$C$2:$C$35,MATCH(M$1,'Conversion Range'!$A$2:$A$35,0)))),3))</f>
        <v>0.16800000000000001</v>
      </c>
      <c r="N11" s="15">
        <f>IF('Legend Attributes'!N11=0,0,ROUND(IF(INDEX('Conversion Range'!$E$2:$E$35,MATCH(N$1,'Conversion Range'!$A$2:$A$35,0))=1,INDEX('Conversion Range'!$D$2:$D$35,MATCH(N$1,'Conversion Range'!$A$2:$A$35,0))-(('Legend Attributes'!N11-1)/19)*(INDEX('Conversion Range'!$D$2:$D$35,MATCH(N$1,'Conversion Range'!$A$2:$A$35,0))-INDEX('Conversion Range'!$C$2:$C$35,MATCH(N$1,'Conversion Range'!$A$2:$A$35,0))),INDEX('Conversion Range'!$C$2:$C$35,MATCH(N$1,'Conversion Range'!$A$2:$A$35,0))+(('Legend Attributes'!N11-1)/19)*(INDEX('Conversion Range'!$D$2:$D$35,MATCH(N$1,'Conversion Range'!$A$2:$A$35,0))-INDEX('Conversion Range'!$C$2:$C$35,MATCH(N$1,'Conversion Range'!$A$2:$A$35,0)))),3))</f>
        <v>6.7370000000000001</v>
      </c>
      <c r="O11" s="15">
        <f>IF('Legend Attributes'!O11=0,0,ROUND(IF(INDEX('Conversion Range'!$E$2:$E$35,MATCH(O$1,'Conversion Range'!$A$2:$A$35,0))=1,INDEX('Conversion Range'!$D$2:$D$35,MATCH(O$1,'Conversion Range'!$A$2:$A$35,0))-(('Legend Attributes'!O11-1)/19)*(INDEX('Conversion Range'!$D$2:$D$35,MATCH(O$1,'Conversion Range'!$A$2:$A$35,0))-INDEX('Conversion Range'!$C$2:$C$35,MATCH(O$1,'Conversion Range'!$A$2:$A$35,0))),INDEX('Conversion Range'!$C$2:$C$35,MATCH(O$1,'Conversion Range'!$A$2:$A$35,0))+(('Legend Attributes'!O11-1)/19)*(INDEX('Conversion Range'!$D$2:$D$35,MATCH(O$1,'Conversion Range'!$A$2:$A$35,0))-INDEX('Conversion Range'!$C$2:$C$35,MATCH(O$1,'Conversion Range'!$A$2:$A$35,0)))),3))</f>
        <v>1.079</v>
      </c>
      <c r="P11" s="15">
        <f>IF('Legend Attributes'!P11=0,0,ROUND(IF(INDEX('Conversion Range'!$E$2:$E$35,MATCH(P$1,'Conversion Range'!$A$2:$A$35,0))=1,INDEX('Conversion Range'!$D$2:$D$35,MATCH(P$1,'Conversion Range'!$A$2:$A$35,0))-(('Legend Attributes'!P11-1)/19)*(INDEX('Conversion Range'!$D$2:$D$35,MATCH(P$1,'Conversion Range'!$A$2:$A$35,0))-INDEX('Conversion Range'!$C$2:$C$35,MATCH(P$1,'Conversion Range'!$A$2:$A$35,0))),INDEX('Conversion Range'!$C$2:$C$35,MATCH(P$1,'Conversion Range'!$A$2:$A$35,0))+(('Legend Attributes'!P11-1)/19)*(INDEX('Conversion Range'!$D$2:$D$35,MATCH(P$1,'Conversion Range'!$A$2:$A$35,0))-INDEX('Conversion Range'!$C$2:$C$35,MATCH(P$1,'Conversion Range'!$A$2:$A$35,0)))),3))</f>
        <v>67.632000000000005</v>
      </c>
      <c r="Q11" s="15">
        <f>IF('Legend Attributes'!Q11=0,0,ROUND(IF(INDEX('Conversion Range'!$E$2:$E$35,MATCH(Q$1,'Conversion Range'!$A$2:$A$35,0))=1,INDEX('Conversion Range'!$D$2:$D$35,MATCH(Q$1,'Conversion Range'!$A$2:$A$35,0))-(('Legend Attributes'!Q11-1)/19)*(INDEX('Conversion Range'!$D$2:$D$35,MATCH(Q$1,'Conversion Range'!$A$2:$A$35,0))-INDEX('Conversion Range'!$C$2:$C$35,MATCH(Q$1,'Conversion Range'!$A$2:$A$35,0))),INDEX('Conversion Range'!$C$2:$C$35,MATCH(Q$1,'Conversion Range'!$A$2:$A$35,0))+(('Legend Attributes'!Q11-1)/19)*(INDEX('Conversion Range'!$D$2:$D$35,MATCH(Q$1,'Conversion Range'!$A$2:$A$35,0))-INDEX('Conversion Range'!$C$2:$C$35,MATCH(Q$1,'Conversion Range'!$A$2:$A$35,0)))),3))</f>
        <v>47.158000000000001</v>
      </c>
      <c r="R11" s="15">
        <f>IF('Legend Attributes'!R11=0,0,ROUND(IF(INDEX('Conversion Range'!$E$2:$E$35,MATCH(R$1,'Conversion Range'!$A$2:$A$35,0))=1,INDEX('Conversion Range'!$D$2:$D$35,MATCH(R$1,'Conversion Range'!$A$2:$A$35,0))-(('Legend Attributes'!R11-1)/19)*(INDEX('Conversion Range'!$D$2:$D$35,MATCH(R$1,'Conversion Range'!$A$2:$A$35,0))-INDEX('Conversion Range'!$C$2:$C$35,MATCH(R$1,'Conversion Range'!$A$2:$A$35,0))),INDEX('Conversion Range'!$C$2:$C$35,MATCH(R$1,'Conversion Range'!$A$2:$A$35,0))+(('Legend Attributes'!R11-1)/19)*(INDEX('Conversion Range'!$D$2:$D$35,MATCH(R$1,'Conversion Range'!$A$2:$A$35,0))-INDEX('Conversion Range'!$C$2:$C$35,MATCH(R$1,'Conversion Range'!$A$2:$A$35,0)))),3))</f>
        <v>95</v>
      </c>
      <c r="S11" s="15">
        <f>IF('Legend Attributes'!S11=0,0,ROUND(IF(INDEX('Conversion Range'!$E$2:$E$35,MATCH(S$1,'Conversion Range'!$A$2:$A$35,0))=1,INDEX('Conversion Range'!$D$2:$D$35,MATCH(S$1,'Conversion Range'!$A$2:$A$35,0))-(('Legend Attributes'!S11-1)/19)*(INDEX('Conversion Range'!$D$2:$D$35,MATCH(S$1,'Conversion Range'!$A$2:$A$35,0))-INDEX('Conversion Range'!$C$2:$C$35,MATCH(S$1,'Conversion Range'!$A$2:$A$35,0))),INDEX('Conversion Range'!$C$2:$C$35,MATCH(S$1,'Conversion Range'!$A$2:$A$35,0))+(('Legend Attributes'!S11-1)/19)*(INDEX('Conversion Range'!$D$2:$D$35,MATCH(S$1,'Conversion Range'!$A$2:$A$35,0))-INDEX('Conversion Range'!$C$2:$C$35,MATCH(S$1,'Conversion Range'!$A$2:$A$35,0)))),3))</f>
        <v>8.0679999999999996</v>
      </c>
      <c r="T11" s="15">
        <f>IF('Legend Attributes'!T11=0,0,ROUND(IF(INDEX('Conversion Range'!$E$2:$E$35,MATCH(T$1,'Conversion Range'!$A$2:$A$35,0))=1,INDEX('Conversion Range'!$D$2:$D$35,MATCH(T$1,'Conversion Range'!$A$2:$A$35,0))-(('Legend Attributes'!T11-1)/19)*(INDEX('Conversion Range'!$D$2:$D$35,MATCH(T$1,'Conversion Range'!$A$2:$A$35,0))-INDEX('Conversion Range'!$C$2:$C$35,MATCH(T$1,'Conversion Range'!$A$2:$A$35,0))),INDEX('Conversion Range'!$C$2:$C$35,MATCH(T$1,'Conversion Range'!$A$2:$A$35,0))+(('Legend Attributes'!T11-1)/19)*(INDEX('Conversion Range'!$D$2:$D$35,MATCH(T$1,'Conversion Range'!$A$2:$A$35,0))-INDEX('Conversion Range'!$C$2:$C$35,MATCH(T$1,'Conversion Range'!$A$2:$A$35,0)))),3))</f>
        <v>65.736999999999995</v>
      </c>
      <c r="U11" s="15">
        <f>IF('Legend Attributes'!U11=0,0,ROUND(IF(INDEX('Conversion Range'!$E$2:$E$35,MATCH(U$1,'Conversion Range'!$A$2:$A$35,0))=1,INDEX('Conversion Range'!$D$2:$D$35,MATCH(U$1,'Conversion Range'!$A$2:$A$35,0))-(('Legend Attributes'!U11-1)/19)*(INDEX('Conversion Range'!$D$2:$D$35,MATCH(U$1,'Conversion Range'!$A$2:$A$35,0))-INDEX('Conversion Range'!$C$2:$C$35,MATCH(U$1,'Conversion Range'!$A$2:$A$35,0))),INDEX('Conversion Range'!$C$2:$C$35,MATCH(U$1,'Conversion Range'!$A$2:$A$35,0))+(('Legend Attributes'!U11-1)/19)*(INDEX('Conversion Range'!$D$2:$D$35,MATCH(U$1,'Conversion Range'!$A$2:$A$35,0))-INDEX('Conversion Range'!$C$2:$C$35,MATCH(U$1,'Conversion Range'!$A$2:$A$35,0)))),3))</f>
        <v>1.121</v>
      </c>
      <c r="V11" s="15">
        <f>IF('Legend Attributes'!V11=0,0,ROUND(IF(INDEX('Conversion Range'!$E$2:$E$35,MATCH(V$1,'Conversion Range'!$A$2:$A$35,0))=1,INDEX('Conversion Range'!$D$2:$D$35,MATCH(V$1,'Conversion Range'!$A$2:$A$35,0))-(('Legend Attributes'!V11-1)/19)*(INDEX('Conversion Range'!$D$2:$D$35,MATCH(V$1,'Conversion Range'!$A$2:$A$35,0))-INDEX('Conversion Range'!$C$2:$C$35,MATCH(V$1,'Conversion Range'!$A$2:$A$35,0))),INDEX('Conversion Range'!$C$2:$C$35,MATCH(V$1,'Conversion Range'!$A$2:$A$35,0))+(('Legend Attributes'!V11-1)/19)*(INDEX('Conversion Range'!$D$2:$D$35,MATCH(V$1,'Conversion Range'!$A$2:$A$35,0))-INDEX('Conversion Range'!$C$2:$C$35,MATCH(V$1,'Conversion Range'!$A$2:$A$35,0)))),3))</f>
        <v>44.210999999999999</v>
      </c>
      <c r="W11" s="15">
        <f>IF('Legend Attributes'!W11=0,0,ROUND(IF(INDEX('Conversion Range'!$E$2:$E$35,MATCH(W$1,'Conversion Range'!$A$2:$A$35,0))=1,INDEX('Conversion Range'!$D$2:$D$35,MATCH(W$1,'Conversion Range'!$A$2:$A$35,0))-(('Legend Attributes'!W11-1)/19)*(INDEX('Conversion Range'!$D$2:$D$35,MATCH(W$1,'Conversion Range'!$A$2:$A$35,0))-INDEX('Conversion Range'!$C$2:$C$35,MATCH(W$1,'Conversion Range'!$A$2:$A$35,0))),INDEX('Conversion Range'!$C$2:$C$35,MATCH(W$1,'Conversion Range'!$A$2:$A$35,0))+(('Legend Attributes'!W11-1)/19)*(INDEX('Conversion Range'!$D$2:$D$35,MATCH(W$1,'Conversion Range'!$A$2:$A$35,0))-INDEX('Conversion Range'!$C$2:$C$35,MATCH(W$1,'Conversion Range'!$A$2:$A$35,0)))),3))</f>
        <v>0.28899999999999998</v>
      </c>
      <c r="X11" s="15">
        <f>IF('Legend Attributes'!X11=0,0,ROUND(IF(INDEX('Conversion Range'!$E$2:$E$35,MATCH(X$1,'Conversion Range'!$A$2:$A$35,0))=1,INDEX('Conversion Range'!$D$2:$D$35,MATCH(X$1,'Conversion Range'!$A$2:$A$35,0))-(('Legend Attributes'!X11-1)/19)*(INDEX('Conversion Range'!$D$2:$D$35,MATCH(X$1,'Conversion Range'!$A$2:$A$35,0))-INDEX('Conversion Range'!$C$2:$C$35,MATCH(X$1,'Conversion Range'!$A$2:$A$35,0))),INDEX('Conversion Range'!$C$2:$C$35,MATCH(X$1,'Conversion Range'!$A$2:$A$35,0))+(('Legend Attributes'!X11-1)/19)*(INDEX('Conversion Range'!$D$2:$D$35,MATCH(X$1,'Conversion Range'!$A$2:$A$35,0))-INDEX('Conversion Range'!$C$2:$C$35,MATCH(X$1,'Conversion Range'!$A$2:$A$35,0)))),3))</f>
        <v>0.753</v>
      </c>
      <c r="Y11" s="15">
        <f>IF('Legend Attributes'!Y11=0,0,ROUND(IF(INDEX('Conversion Range'!$E$2:$E$35,MATCH(Y$1,'Conversion Range'!$A$2:$A$35,0))=1,INDEX('Conversion Range'!$D$2:$D$35,MATCH(Y$1,'Conversion Range'!$A$2:$A$35,0))-(('Legend Attributes'!Y11-1)/19)*(INDEX('Conversion Range'!$D$2:$D$35,MATCH(Y$1,'Conversion Range'!$A$2:$A$35,0))-INDEX('Conversion Range'!$C$2:$C$35,MATCH(Y$1,'Conversion Range'!$A$2:$A$35,0))),INDEX('Conversion Range'!$C$2:$C$35,MATCH(Y$1,'Conversion Range'!$A$2:$A$35,0))+(('Legend Attributes'!Y11-1)/19)*(INDEX('Conversion Range'!$D$2:$D$35,MATCH(Y$1,'Conversion Range'!$A$2:$A$35,0))-INDEX('Conversion Range'!$C$2:$C$35,MATCH(Y$1,'Conversion Range'!$A$2:$A$35,0)))),3))</f>
        <v>0.23699999999999999</v>
      </c>
      <c r="Z11" s="15">
        <f>IF('Legend Attributes'!Z11=0,0,ROUND(IF(INDEX('Conversion Range'!$E$2:$E$35,MATCH(Z$1,'Conversion Range'!$A$2:$A$35,0))=1,INDEX('Conversion Range'!$D$2:$D$35,MATCH(Z$1,'Conversion Range'!$A$2:$A$35,0))-(('Legend Attributes'!Z11-1)/19)*(INDEX('Conversion Range'!$D$2:$D$35,MATCH(Z$1,'Conversion Range'!$A$2:$A$35,0))-INDEX('Conversion Range'!$C$2:$C$35,MATCH(Z$1,'Conversion Range'!$A$2:$A$35,0))),INDEX('Conversion Range'!$C$2:$C$35,MATCH(Z$1,'Conversion Range'!$A$2:$A$35,0))+(('Legend Attributes'!Z11-1)/19)*(INDEX('Conversion Range'!$D$2:$D$35,MATCH(Z$1,'Conversion Range'!$A$2:$A$35,0))-INDEX('Conversion Range'!$C$2:$C$35,MATCH(Z$1,'Conversion Range'!$A$2:$A$35,0)))),3))</f>
        <v>4.8159999999999998</v>
      </c>
      <c r="AA11" s="15">
        <f>IF('Legend Attributes'!AA11=0,0,ROUND(IF(INDEX('Conversion Range'!$E$2:$E$35,MATCH(AA$1,'Conversion Range'!$A$2:$A$35,0))=1,INDEX('Conversion Range'!$D$2:$D$35,MATCH(AA$1,'Conversion Range'!$A$2:$A$35,0))-(('Legend Attributes'!AA11-1)/19)*(INDEX('Conversion Range'!$D$2:$D$35,MATCH(AA$1,'Conversion Range'!$A$2:$A$35,0))-INDEX('Conversion Range'!$C$2:$C$35,MATCH(AA$1,'Conversion Range'!$A$2:$A$35,0))),INDEX('Conversion Range'!$C$2:$C$35,MATCH(AA$1,'Conversion Range'!$A$2:$A$35,0))+(('Legend Attributes'!AA11-1)/19)*(INDEX('Conversion Range'!$D$2:$D$35,MATCH(AA$1,'Conversion Range'!$A$2:$A$35,0))-INDEX('Conversion Range'!$C$2:$C$35,MATCH(AA$1,'Conversion Range'!$A$2:$A$35,0)))),3))</f>
        <v>0.129</v>
      </c>
      <c r="AB11" s="15">
        <f>IF('Legend Attributes'!AB11=0,0,ROUND(IF(INDEX('Conversion Range'!$E$2:$E$35,MATCH(AB$1,'Conversion Range'!$A$2:$A$35,0))=1,INDEX('Conversion Range'!$D$2:$D$35,MATCH(AB$1,'Conversion Range'!$A$2:$A$35,0))-(('Legend Attributes'!AB11-1)/19)*(INDEX('Conversion Range'!$D$2:$D$35,MATCH(AB$1,'Conversion Range'!$A$2:$A$35,0))-INDEX('Conversion Range'!$C$2:$C$35,MATCH(AB$1,'Conversion Range'!$A$2:$A$35,0))),INDEX('Conversion Range'!$C$2:$C$35,MATCH(AB$1,'Conversion Range'!$A$2:$A$35,0))+(('Legend Attributes'!AB11-1)/19)*(INDEX('Conversion Range'!$D$2:$D$35,MATCH(AB$1,'Conversion Range'!$A$2:$A$35,0))-INDEX('Conversion Range'!$C$2:$C$35,MATCH(AB$1,'Conversion Range'!$A$2:$A$35,0)))),3))</f>
        <v>0.80800000000000005</v>
      </c>
      <c r="AC11" s="15">
        <f>IF('Legend Attributes'!AC11=0,0,ROUND(IF(INDEX('Conversion Range'!$E$2:$E$35,MATCH(AC$1,'Conversion Range'!$A$2:$A$35,0))=1,INDEX('Conversion Range'!$D$2:$D$35,MATCH(AC$1,'Conversion Range'!$A$2:$A$35,0))-(('Legend Attributes'!AC11-1)/19)*(INDEX('Conversion Range'!$D$2:$D$35,MATCH(AC$1,'Conversion Range'!$A$2:$A$35,0))-INDEX('Conversion Range'!$C$2:$C$35,MATCH(AC$1,'Conversion Range'!$A$2:$A$35,0))),INDEX('Conversion Range'!$C$2:$C$35,MATCH(AC$1,'Conversion Range'!$A$2:$A$35,0))+(('Legend Attributes'!AC11-1)/19)*(INDEX('Conversion Range'!$D$2:$D$35,MATCH(AC$1,'Conversion Range'!$A$2:$A$35,0))-INDEX('Conversion Range'!$C$2:$C$35,MATCH(AC$1,'Conversion Range'!$A$2:$A$35,0)))),3))</f>
        <v>0.52300000000000002</v>
      </c>
      <c r="AD11" s="15">
        <f>IF('Legend Attributes'!AD11=0,0,ROUND(IF(INDEX('Conversion Range'!$E$2:$E$35,MATCH(AD$1,'Conversion Range'!$A$2:$A$35,0))=1,INDEX('Conversion Range'!$D$2:$D$35,MATCH(AD$1,'Conversion Range'!$A$2:$A$35,0))-(('Legend Attributes'!AD11-1)/19)*(INDEX('Conversion Range'!$D$2:$D$35,MATCH(AD$1,'Conversion Range'!$A$2:$A$35,0))-INDEX('Conversion Range'!$C$2:$C$35,MATCH(AD$1,'Conversion Range'!$A$2:$A$35,0))),INDEX('Conversion Range'!$C$2:$C$35,MATCH(AD$1,'Conversion Range'!$A$2:$A$35,0))+(('Legend Attributes'!AD11-1)/19)*(INDEX('Conversion Range'!$D$2:$D$35,MATCH(AD$1,'Conversion Range'!$A$2:$A$35,0))-INDEX('Conversion Range'!$C$2:$C$35,MATCH(AD$1,'Conversion Range'!$A$2:$A$35,0)))),3))</f>
        <v>0</v>
      </c>
      <c r="AE11" s="15">
        <f>IF('Legend Attributes'!AE11=0,0,ROUND(IF(INDEX('Conversion Range'!$E$2:$E$35,MATCH(AE$1,'Conversion Range'!$A$2:$A$35,0))=1,INDEX('Conversion Range'!$D$2:$D$35,MATCH(AE$1,'Conversion Range'!$A$2:$A$35,0))-(('Legend Attributes'!AE11-1)/19)*(INDEX('Conversion Range'!$D$2:$D$35,MATCH(AE$1,'Conversion Range'!$A$2:$A$35,0))-INDEX('Conversion Range'!$C$2:$C$35,MATCH(AE$1,'Conversion Range'!$A$2:$A$35,0))),INDEX('Conversion Range'!$C$2:$C$35,MATCH(AE$1,'Conversion Range'!$A$2:$A$35,0))+(('Legend Attributes'!AE11-1)/19)*(INDEX('Conversion Range'!$D$2:$D$35,MATCH(AE$1,'Conversion Range'!$A$2:$A$35,0))-INDEX('Conversion Range'!$C$2:$C$35,MATCH(AE$1,'Conversion Range'!$A$2:$A$35,0)))),3))</f>
        <v>0</v>
      </c>
      <c r="AF11" s="15">
        <f>IF('Legend Attributes'!AF11=0,0,ROUND(IF(INDEX('Conversion Range'!$E$2:$E$35,MATCH(AF$1,'Conversion Range'!$A$2:$A$35,0))=1,INDEX('Conversion Range'!$D$2:$D$35,MATCH(AF$1,'Conversion Range'!$A$2:$A$35,0))-(('Legend Attributes'!AF11-1)/19)*(INDEX('Conversion Range'!$D$2:$D$35,MATCH(AF$1,'Conversion Range'!$A$2:$A$35,0))-INDEX('Conversion Range'!$C$2:$C$35,MATCH(AF$1,'Conversion Range'!$A$2:$A$35,0))),INDEX('Conversion Range'!$C$2:$C$35,MATCH(AF$1,'Conversion Range'!$A$2:$A$35,0))+(('Legend Attributes'!AF11-1)/19)*(INDEX('Conversion Range'!$D$2:$D$35,MATCH(AF$1,'Conversion Range'!$A$2:$A$35,0))-INDEX('Conversion Range'!$C$2:$C$35,MATCH(AF$1,'Conversion Range'!$A$2:$A$35,0)))),3))</f>
        <v>0</v>
      </c>
      <c r="AG11" s="15">
        <f>IF('Legend Attributes'!AG11=0,0,ROUND(IF(INDEX('Conversion Range'!$E$2:$E$35,MATCH(AG$1,'Conversion Range'!$A$2:$A$35,0))=1,INDEX('Conversion Range'!$D$2:$D$35,MATCH(AG$1,'Conversion Range'!$A$2:$A$35,0))-(('Legend Attributes'!AG11-1)/19)*(INDEX('Conversion Range'!$D$2:$D$35,MATCH(AG$1,'Conversion Range'!$A$2:$A$35,0))-INDEX('Conversion Range'!$C$2:$C$35,MATCH(AG$1,'Conversion Range'!$A$2:$A$35,0))),INDEX('Conversion Range'!$C$2:$C$35,MATCH(AG$1,'Conversion Range'!$A$2:$A$35,0))+(('Legend Attributes'!AG11-1)/19)*(INDEX('Conversion Range'!$D$2:$D$35,MATCH(AG$1,'Conversion Range'!$A$2:$A$35,0))-INDEX('Conversion Range'!$C$2:$C$35,MATCH(AG$1,'Conversion Range'!$A$2:$A$35,0)))),3))</f>
        <v>0.89500000000000002</v>
      </c>
      <c r="AH11" s="15">
        <f>IF('Legend Attributes'!AH11=0,0,ROUND(IF(INDEX('Conversion Range'!$E$2:$E$35,MATCH(AH$1,'Conversion Range'!$A$2:$A$35,0))=1,INDEX('Conversion Range'!$D$2:$D$35,MATCH(AH$1,'Conversion Range'!$A$2:$A$35,0))-(('Legend Attributes'!AH11-1)/19)*(INDEX('Conversion Range'!$D$2:$D$35,MATCH(AH$1,'Conversion Range'!$A$2:$A$35,0))-INDEX('Conversion Range'!$C$2:$C$35,MATCH(AH$1,'Conversion Range'!$A$2:$A$35,0))),INDEX('Conversion Range'!$C$2:$C$35,MATCH(AH$1,'Conversion Range'!$A$2:$A$35,0))+(('Legend Attributes'!AH11-1)/19)*(INDEX('Conversion Range'!$D$2:$D$35,MATCH(AH$1,'Conversion Range'!$A$2:$A$35,0))-INDEX('Conversion Range'!$C$2:$C$35,MATCH(AH$1,'Conversion Range'!$A$2:$A$35,0)))),3))</f>
        <v>0.156</v>
      </c>
      <c r="AI11" s="15">
        <f>IF('Legend Attributes'!AI11=0,0,ROUND(IF(INDEX('Conversion Range'!$E$2:$E$35,MATCH(AI$1,'Conversion Range'!$A$2:$A$35,0))=1,INDEX('Conversion Range'!$D$2:$D$35,MATCH(AI$1,'Conversion Range'!$A$2:$A$35,0))-(('Legend Attributes'!AI11-1)/19)*(INDEX('Conversion Range'!$D$2:$D$35,MATCH(AI$1,'Conversion Range'!$A$2:$A$35,0))-INDEX('Conversion Range'!$C$2:$C$35,MATCH(AI$1,'Conversion Range'!$A$2:$A$35,0))),INDEX('Conversion Range'!$C$2:$C$35,MATCH(AI$1,'Conversion Range'!$A$2:$A$35,0))+(('Legend Attributes'!AI11-1)/19)*(INDEX('Conversion Range'!$D$2:$D$35,MATCH(AI$1,'Conversion Range'!$A$2:$A$35,0))-INDEX('Conversion Range'!$C$2:$C$35,MATCH(AI$1,'Conversion Range'!$A$2:$A$35,0)))),3))</f>
        <v>1.9E-2</v>
      </c>
      <c r="AJ11" s="15">
        <f>IF('Legend Attributes'!AJ11=0,0,ROUND(IF(INDEX('Conversion Range'!$E$2:$E$35,MATCH(AJ$1,'Conversion Range'!$A$2:$A$35,0))=1,INDEX('Conversion Range'!$D$2:$D$35,MATCH(AJ$1,'Conversion Range'!$A$2:$A$35,0))-(('Legend Attributes'!AJ11-1)/19)*(INDEX('Conversion Range'!$D$2:$D$35,MATCH(AJ$1,'Conversion Range'!$A$2:$A$35,0))-INDEX('Conversion Range'!$C$2:$C$35,MATCH(AJ$1,'Conversion Range'!$A$2:$A$35,0))),INDEX('Conversion Range'!$C$2:$C$35,MATCH(AJ$1,'Conversion Range'!$A$2:$A$35,0))+(('Legend Attributes'!AJ11-1)/19)*(INDEX('Conversion Range'!$D$2:$D$35,MATCH(AJ$1,'Conversion Range'!$A$2:$A$35,0))-INDEX('Conversion Range'!$C$2:$C$35,MATCH(AJ$1,'Conversion Range'!$A$2:$A$35,0)))),3))</f>
        <v>7.9160000000000004</v>
      </c>
    </row>
    <row r="12" spans="1:36" x14ac:dyDescent="0.35">
      <c r="A12" s="14" t="str">
        <f>'Legend Attributes'!A12</f>
        <v>Yaya Touré</v>
      </c>
      <c r="B12" s="15" t="str">
        <f>'Legend Attributes'!B12</f>
        <v>CM</v>
      </c>
      <c r="C12" s="15">
        <f>IF('Legend Attributes'!C12=0,0,ROUND(IF(INDEX('Conversion Range'!$E$2:$E$35,MATCH(C$1,'Conversion Range'!$A$2:$A$35,0))=1,INDEX('Conversion Range'!$D$2:$D$35,MATCH(C$1,'Conversion Range'!$A$2:$A$35,0))-(('Legend Attributes'!C12-1)/19)*(INDEX('Conversion Range'!$D$2:$D$35,MATCH(C$1,'Conversion Range'!$A$2:$A$35,0))-INDEX('Conversion Range'!$C$2:$C$35,MATCH(C$1,'Conversion Range'!$A$2:$A$35,0))),INDEX('Conversion Range'!$C$2:$C$35,MATCH(C$1,'Conversion Range'!$A$2:$A$35,0))+(('Legend Attributes'!C12-1)/19)*(INDEX('Conversion Range'!$D$2:$D$35,MATCH(C$1,'Conversion Range'!$A$2:$A$35,0))-INDEX('Conversion Range'!$C$2:$C$35,MATCH(C$1,'Conversion Range'!$A$2:$A$35,0)))),3))</f>
        <v>0.54400000000000004</v>
      </c>
      <c r="D12" s="15">
        <f>IF('Legend Attributes'!D12=0,0,ROUND(IF(INDEX('Conversion Range'!$E$2:$E$35,MATCH(D$1,'Conversion Range'!$A$2:$A$35,0))=1,INDEX('Conversion Range'!$D$2:$D$35,MATCH(D$1,'Conversion Range'!$A$2:$A$35,0))-(('Legend Attributes'!D12-1)/19)*(INDEX('Conversion Range'!$D$2:$D$35,MATCH(D$1,'Conversion Range'!$A$2:$A$35,0))-INDEX('Conversion Range'!$C$2:$C$35,MATCH(D$1,'Conversion Range'!$A$2:$A$35,0))),INDEX('Conversion Range'!$C$2:$C$35,MATCH(D$1,'Conversion Range'!$A$2:$A$35,0))+(('Legend Attributes'!D12-1)/19)*(INDEX('Conversion Range'!$D$2:$D$35,MATCH(D$1,'Conversion Range'!$A$2:$A$35,0))-INDEX('Conversion Range'!$C$2:$C$35,MATCH(D$1,'Conversion Range'!$A$2:$A$35,0)))),3))</f>
        <v>0.443</v>
      </c>
      <c r="E12" s="15">
        <f>IF('Legend Attributes'!E12=0,0,ROUND(IF(INDEX('Conversion Range'!$E$2:$E$35,MATCH(E$1,'Conversion Range'!$A$2:$A$35,0))=1,INDEX('Conversion Range'!$D$2:$D$35,MATCH(E$1,'Conversion Range'!$A$2:$A$35,0))-(('Legend Attributes'!E12-1)/19)*(INDEX('Conversion Range'!$D$2:$D$35,MATCH(E$1,'Conversion Range'!$A$2:$A$35,0))-INDEX('Conversion Range'!$C$2:$C$35,MATCH(E$1,'Conversion Range'!$A$2:$A$35,0))),INDEX('Conversion Range'!$C$2:$C$35,MATCH(E$1,'Conversion Range'!$A$2:$A$35,0))+(('Legend Attributes'!E12-1)/19)*(INDEX('Conversion Range'!$D$2:$D$35,MATCH(E$1,'Conversion Range'!$A$2:$A$35,0))-INDEX('Conversion Range'!$C$2:$C$35,MATCH(E$1,'Conversion Range'!$A$2:$A$35,0)))),3))</f>
        <v>0.23699999999999999</v>
      </c>
      <c r="F12" s="15">
        <f>IF('Legend Attributes'!F12=0,0,ROUND(IF(INDEX('Conversion Range'!$E$2:$E$35,MATCH(F$1,'Conversion Range'!$A$2:$A$35,0))=1,INDEX('Conversion Range'!$D$2:$D$35,MATCH(F$1,'Conversion Range'!$A$2:$A$35,0))-(('Legend Attributes'!F12-1)/19)*(INDEX('Conversion Range'!$D$2:$D$35,MATCH(F$1,'Conversion Range'!$A$2:$A$35,0))-INDEX('Conversion Range'!$C$2:$C$35,MATCH(F$1,'Conversion Range'!$A$2:$A$35,0))),INDEX('Conversion Range'!$C$2:$C$35,MATCH(F$1,'Conversion Range'!$A$2:$A$35,0))+(('Legend Attributes'!F12-1)/19)*(INDEX('Conversion Range'!$D$2:$D$35,MATCH(F$1,'Conversion Range'!$A$2:$A$35,0))-INDEX('Conversion Range'!$C$2:$C$35,MATCH(F$1,'Conversion Range'!$A$2:$A$35,0)))),3))</f>
        <v>2.379</v>
      </c>
      <c r="G12" s="15">
        <f>IF('Legend Attributes'!G12=0,0,ROUND(IF(INDEX('Conversion Range'!$E$2:$E$35,MATCH(G$1,'Conversion Range'!$A$2:$A$35,0))=1,INDEX('Conversion Range'!$D$2:$D$35,MATCH(G$1,'Conversion Range'!$A$2:$A$35,0))-(('Legend Attributes'!G12-1)/19)*(INDEX('Conversion Range'!$D$2:$D$35,MATCH(G$1,'Conversion Range'!$A$2:$A$35,0))-INDEX('Conversion Range'!$C$2:$C$35,MATCH(G$1,'Conversion Range'!$A$2:$A$35,0))),INDEX('Conversion Range'!$C$2:$C$35,MATCH(G$1,'Conversion Range'!$A$2:$A$35,0))+(('Legend Attributes'!G12-1)/19)*(INDEX('Conversion Range'!$D$2:$D$35,MATCH(G$1,'Conversion Range'!$A$2:$A$35,0))-INDEX('Conversion Range'!$C$2:$C$35,MATCH(G$1,'Conversion Range'!$A$2:$A$35,0)))),3))</f>
        <v>1.1319999999999999</v>
      </c>
      <c r="H12" s="15">
        <f>IF('Legend Attributes'!H12=0,0,ROUND(IF(INDEX('Conversion Range'!$E$2:$E$35,MATCH(H$1,'Conversion Range'!$A$2:$A$35,0))=1,INDEX('Conversion Range'!$D$2:$D$35,MATCH(H$1,'Conversion Range'!$A$2:$A$35,0))-(('Legend Attributes'!H12-1)/19)*(INDEX('Conversion Range'!$D$2:$D$35,MATCH(H$1,'Conversion Range'!$A$2:$A$35,0))-INDEX('Conversion Range'!$C$2:$C$35,MATCH(H$1,'Conversion Range'!$A$2:$A$35,0))),INDEX('Conversion Range'!$C$2:$C$35,MATCH(H$1,'Conversion Range'!$A$2:$A$35,0))+(('Legend Attributes'!H12-1)/19)*(INDEX('Conversion Range'!$D$2:$D$35,MATCH(H$1,'Conversion Range'!$A$2:$A$35,0))-INDEX('Conversion Range'!$C$2:$C$35,MATCH(H$1,'Conversion Range'!$A$2:$A$35,0)))),3))</f>
        <v>0.57899999999999996</v>
      </c>
      <c r="I12" s="15">
        <f>IF('Legend Attributes'!I12=0,0,ROUND(IF(INDEX('Conversion Range'!$E$2:$E$35,MATCH(I$1,'Conversion Range'!$A$2:$A$35,0))=1,INDEX('Conversion Range'!$D$2:$D$35,MATCH(I$1,'Conversion Range'!$A$2:$A$35,0))-(('Legend Attributes'!I12-1)/19)*(INDEX('Conversion Range'!$D$2:$D$35,MATCH(I$1,'Conversion Range'!$A$2:$A$35,0))-INDEX('Conversion Range'!$C$2:$C$35,MATCH(I$1,'Conversion Range'!$A$2:$A$35,0))),INDEX('Conversion Range'!$C$2:$C$35,MATCH(I$1,'Conversion Range'!$A$2:$A$35,0))+(('Legend Attributes'!I12-1)/19)*(INDEX('Conversion Range'!$D$2:$D$35,MATCH(I$1,'Conversion Range'!$A$2:$A$35,0))-INDEX('Conversion Range'!$C$2:$C$35,MATCH(I$1,'Conversion Range'!$A$2:$A$35,0)))),3))</f>
        <v>1.153</v>
      </c>
      <c r="J12" s="15">
        <f>IF('Legend Attributes'!J12=0,0,ROUND(IF(INDEX('Conversion Range'!$E$2:$E$35,MATCH(J$1,'Conversion Range'!$A$2:$A$35,0))=1,INDEX('Conversion Range'!$D$2:$D$35,MATCH(J$1,'Conversion Range'!$A$2:$A$35,0))-(('Legend Attributes'!J12-1)/19)*(INDEX('Conversion Range'!$D$2:$D$35,MATCH(J$1,'Conversion Range'!$A$2:$A$35,0))-INDEX('Conversion Range'!$C$2:$C$35,MATCH(J$1,'Conversion Range'!$A$2:$A$35,0))),INDEX('Conversion Range'!$C$2:$C$35,MATCH(J$1,'Conversion Range'!$A$2:$A$35,0))+(('Legend Attributes'!J12-1)/19)*(INDEX('Conversion Range'!$D$2:$D$35,MATCH(J$1,'Conversion Range'!$A$2:$A$35,0))-INDEX('Conversion Range'!$C$2:$C$35,MATCH(J$1,'Conversion Range'!$A$2:$A$35,0)))),3))</f>
        <v>1.6679999999999999</v>
      </c>
      <c r="K12" s="15">
        <f>IF('Legend Attributes'!K12=0,0,ROUND(IF(INDEX('Conversion Range'!$E$2:$E$35,MATCH(K$1,'Conversion Range'!$A$2:$A$35,0))=1,INDEX('Conversion Range'!$D$2:$D$35,MATCH(K$1,'Conversion Range'!$A$2:$A$35,0))-(('Legend Attributes'!K12-1)/19)*(INDEX('Conversion Range'!$D$2:$D$35,MATCH(K$1,'Conversion Range'!$A$2:$A$35,0))-INDEX('Conversion Range'!$C$2:$C$35,MATCH(K$1,'Conversion Range'!$A$2:$A$35,0))),INDEX('Conversion Range'!$C$2:$C$35,MATCH(K$1,'Conversion Range'!$A$2:$A$35,0))+(('Legend Attributes'!K12-1)/19)*(INDEX('Conversion Range'!$D$2:$D$35,MATCH(K$1,'Conversion Range'!$A$2:$A$35,0))-INDEX('Conversion Range'!$C$2:$C$35,MATCH(K$1,'Conversion Range'!$A$2:$A$35,0)))),3))</f>
        <v>1.026</v>
      </c>
      <c r="L12" s="15">
        <f>IF('Legend Attributes'!L12=0,0,ROUND(IF(INDEX('Conversion Range'!$E$2:$E$35,MATCH(L$1,'Conversion Range'!$A$2:$A$35,0))=1,INDEX('Conversion Range'!$D$2:$D$35,MATCH(L$1,'Conversion Range'!$A$2:$A$35,0))-(('Legend Attributes'!L12-1)/19)*(INDEX('Conversion Range'!$D$2:$D$35,MATCH(L$1,'Conversion Range'!$A$2:$A$35,0))-INDEX('Conversion Range'!$C$2:$C$35,MATCH(L$1,'Conversion Range'!$A$2:$A$35,0))),INDEX('Conversion Range'!$C$2:$C$35,MATCH(L$1,'Conversion Range'!$A$2:$A$35,0))+(('Legend Attributes'!L12-1)/19)*(INDEX('Conversion Range'!$D$2:$D$35,MATCH(L$1,'Conversion Range'!$A$2:$A$35,0))-INDEX('Conversion Range'!$C$2:$C$35,MATCH(L$1,'Conversion Range'!$A$2:$A$35,0)))),3))</f>
        <v>1.3049999999999999</v>
      </c>
      <c r="M12" s="15">
        <f>IF('Legend Attributes'!M12=0,0,ROUND(IF(INDEX('Conversion Range'!$E$2:$E$35,MATCH(M$1,'Conversion Range'!$A$2:$A$35,0))=1,INDEX('Conversion Range'!$D$2:$D$35,MATCH(M$1,'Conversion Range'!$A$2:$A$35,0))-(('Legend Attributes'!M12-1)/19)*(INDEX('Conversion Range'!$D$2:$D$35,MATCH(M$1,'Conversion Range'!$A$2:$A$35,0))-INDEX('Conversion Range'!$C$2:$C$35,MATCH(M$1,'Conversion Range'!$A$2:$A$35,0))),INDEX('Conversion Range'!$C$2:$C$35,MATCH(M$1,'Conversion Range'!$A$2:$A$35,0))+(('Legend Attributes'!M12-1)/19)*(INDEX('Conversion Range'!$D$2:$D$35,MATCH(M$1,'Conversion Range'!$A$2:$A$35,0))-INDEX('Conversion Range'!$C$2:$C$35,MATCH(M$1,'Conversion Range'!$A$2:$A$35,0)))),3))</f>
        <v>0.253</v>
      </c>
      <c r="N12" s="15">
        <f>IF('Legend Attributes'!N12=0,0,ROUND(IF(INDEX('Conversion Range'!$E$2:$E$35,MATCH(N$1,'Conversion Range'!$A$2:$A$35,0))=1,INDEX('Conversion Range'!$D$2:$D$35,MATCH(N$1,'Conversion Range'!$A$2:$A$35,0))-(('Legend Attributes'!N12-1)/19)*(INDEX('Conversion Range'!$D$2:$D$35,MATCH(N$1,'Conversion Range'!$A$2:$A$35,0))-INDEX('Conversion Range'!$C$2:$C$35,MATCH(N$1,'Conversion Range'!$A$2:$A$35,0))),INDEX('Conversion Range'!$C$2:$C$35,MATCH(N$1,'Conversion Range'!$A$2:$A$35,0))+(('Legend Attributes'!N12-1)/19)*(INDEX('Conversion Range'!$D$2:$D$35,MATCH(N$1,'Conversion Range'!$A$2:$A$35,0))-INDEX('Conversion Range'!$C$2:$C$35,MATCH(N$1,'Conversion Range'!$A$2:$A$35,0)))),3))</f>
        <v>6.3419999999999996</v>
      </c>
      <c r="O12" s="15">
        <f>IF('Legend Attributes'!O12=0,0,ROUND(IF(INDEX('Conversion Range'!$E$2:$E$35,MATCH(O$1,'Conversion Range'!$A$2:$A$35,0))=1,INDEX('Conversion Range'!$D$2:$D$35,MATCH(O$1,'Conversion Range'!$A$2:$A$35,0))-(('Legend Attributes'!O12-1)/19)*(INDEX('Conversion Range'!$D$2:$D$35,MATCH(O$1,'Conversion Range'!$A$2:$A$35,0))-INDEX('Conversion Range'!$C$2:$C$35,MATCH(O$1,'Conversion Range'!$A$2:$A$35,0))),INDEX('Conversion Range'!$C$2:$C$35,MATCH(O$1,'Conversion Range'!$A$2:$A$35,0))+(('Legend Attributes'!O12-1)/19)*(INDEX('Conversion Range'!$D$2:$D$35,MATCH(O$1,'Conversion Range'!$A$2:$A$35,0))-INDEX('Conversion Range'!$C$2:$C$35,MATCH(O$1,'Conversion Range'!$A$2:$A$35,0)))),3))</f>
        <v>1.895</v>
      </c>
      <c r="P12" s="15">
        <f>IF('Legend Attributes'!P12=0,0,ROUND(IF(INDEX('Conversion Range'!$E$2:$E$35,MATCH(P$1,'Conversion Range'!$A$2:$A$35,0))=1,INDEX('Conversion Range'!$D$2:$D$35,MATCH(P$1,'Conversion Range'!$A$2:$A$35,0))-(('Legend Attributes'!P12-1)/19)*(INDEX('Conversion Range'!$D$2:$D$35,MATCH(P$1,'Conversion Range'!$A$2:$A$35,0))-INDEX('Conversion Range'!$C$2:$C$35,MATCH(P$1,'Conversion Range'!$A$2:$A$35,0))),INDEX('Conversion Range'!$C$2:$C$35,MATCH(P$1,'Conversion Range'!$A$2:$A$35,0))+(('Legend Attributes'!P12-1)/19)*(INDEX('Conversion Range'!$D$2:$D$35,MATCH(P$1,'Conversion Range'!$A$2:$A$35,0))-INDEX('Conversion Range'!$C$2:$C$35,MATCH(P$1,'Conversion Range'!$A$2:$A$35,0)))),3))</f>
        <v>64.736999999999995</v>
      </c>
      <c r="Q12" s="15">
        <f>IF('Legend Attributes'!Q12=0,0,ROUND(IF(INDEX('Conversion Range'!$E$2:$E$35,MATCH(Q$1,'Conversion Range'!$A$2:$A$35,0))=1,INDEX('Conversion Range'!$D$2:$D$35,MATCH(Q$1,'Conversion Range'!$A$2:$A$35,0))-(('Legend Attributes'!Q12-1)/19)*(INDEX('Conversion Range'!$D$2:$D$35,MATCH(Q$1,'Conversion Range'!$A$2:$A$35,0))-INDEX('Conversion Range'!$C$2:$C$35,MATCH(Q$1,'Conversion Range'!$A$2:$A$35,0))),INDEX('Conversion Range'!$C$2:$C$35,MATCH(Q$1,'Conversion Range'!$A$2:$A$35,0))+(('Legend Attributes'!Q12-1)/19)*(INDEX('Conversion Range'!$D$2:$D$35,MATCH(Q$1,'Conversion Range'!$A$2:$A$35,0))-INDEX('Conversion Range'!$C$2:$C$35,MATCH(Q$1,'Conversion Range'!$A$2:$A$35,0)))),3))</f>
        <v>61.052999999999997</v>
      </c>
      <c r="R12" s="15">
        <f>IF('Legend Attributes'!R12=0,0,ROUND(IF(INDEX('Conversion Range'!$E$2:$E$35,MATCH(R$1,'Conversion Range'!$A$2:$A$35,0))=1,INDEX('Conversion Range'!$D$2:$D$35,MATCH(R$1,'Conversion Range'!$A$2:$A$35,0))-(('Legend Attributes'!R12-1)/19)*(INDEX('Conversion Range'!$D$2:$D$35,MATCH(R$1,'Conversion Range'!$A$2:$A$35,0))-INDEX('Conversion Range'!$C$2:$C$35,MATCH(R$1,'Conversion Range'!$A$2:$A$35,0))),INDEX('Conversion Range'!$C$2:$C$35,MATCH(R$1,'Conversion Range'!$A$2:$A$35,0))+(('Legend Attributes'!R12-1)/19)*(INDEX('Conversion Range'!$D$2:$D$35,MATCH(R$1,'Conversion Range'!$A$2:$A$35,0))-INDEX('Conversion Range'!$C$2:$C$35,MATCH(R$1,'Conversion Range'!$A$2:$A$35,0)))),3))</f>
        <v>80.263000000000005</v>
      </c>
      <c r="S12" s="15">
        <f>IF('Legend Attributes'!S12=0,0,ROUND(IF(INDEX('Conversion Range'!$E$2:$E$35,MATCH(S$1,'Conversion Range'!$A$2:$A$35,0))=1,INDEX('Conversion Range'!$D$2:$D$35,MATCH(S$1,'Conversion Range'!$A$2:$A$35,0))-(('Legend Attributes'!S12-1)/19)*(INDEX('Conversion Range'!$D$2:$D$35,MATCH(S$1,'Conversion Range'!$A$2:$A$35,0))-INDEX('Conversion Range'!$C$2:$C$35,MATCH(S$1,'Conversion Range'!$A$2:$A$35,0))),INDEX('Conversion Range'!$C$2:$C$35,MATCH(S$1,'Conversion Range'!$A$2:$A$35,0))+(('Legend Attributes'!S12-1)/19)*(INDEX('Conversion Range'!$D$2:$D$35,MATCH(S$1,'Conversion Range'!$A$2:$A$35,0))-INDEX('Conversion Range'!$C$2:$C$35,MATCH(S$1,'Conversion Range'!$A$2:$A$35,0)))),3))</f>
        <v>2.8889999999999998</v>
      </c>
      <c r="T12" s="15">
        <f>IF('Legend Attributes'!T12=0,0,ROUND(IF(INDEX('Conversion Range'!$E$2:$E$35,MATCH(T$1,'Conversion Range'!$A$2:$A$35,0))=1,INDEX('Conversion Range'!$D$2:$D$35,MATCH(T$1,'Conversion Range'!$A$2:$A$35,0))-(('Legend Attributes'!T12-1)/19)*(INDEX('Conversion Range'!$D$2:$D$35,MATCH(T$1,'Conversion Range'!$A$2:$A$35,0))-INDEX('Conversion Range'!$C$2:$C$35,MATCH(T$1,'Conversion Range'!$A$2:$A$35,0))),INDEX('Conversion Range'!$C$2:$C$35,MATCH(T$1,'Conversion Range'!$A$2:$A$35,0))+(('Legend Attributes'!T12-1)/19)*(INDEX('Conversion Range'!$D$2:$D$35,MATCH(T$1,'Conversion Range'!$A$2:$A$35,0))-INDEX('Conversion Range'!$C$2:$C$35,MATCH(T$1,'Conversion Range'!$A$2:$A$35,0)))),3))</f>
        <v>45.368000000000002</v>
      </c>
      <c r="U12" s="15">
        <f>IF('Legend Attributes'!U12=0,0,ROUND(IF(INDEX('Conversion Range'!$E$2:$E$35,MATCH(U$1,'Conversion Range'!$A$2:$A$35,0))=1,INDEX('Conversion Range'!$D$2:$D$35,MATCH(U$1,'Conversion Range'!$A$2:$A$35,0))-(('Legend Attributes'!U12-1)/19)*(INDEX('Conversion Range'!$D$2:$D$35,MATCH(U$1,'Conversion Range'!$A$2:$A$35,0))-INDEX('Conversion Range'!$C$2:$C$35,MATCH(U$1,'Conversion Range'!$A$2:$A$35,0))),INDEX('Conversion Range'!$C$2:$C$35,MATCH(U$1,'Conversion Range'!$A$2:$A$35,0))+(('Legend Attributes'!U12-1)/19)*(INDEX('Conversion Range'!$D$2:$D$35,MATCH(U$1,'Conversion Range'!$A$2:$A$35,0))-INDEX('Conversion Range'!$C$2:$C$35,MATCH(U$1,'Conversion Range'!$A$2:$A$35,0)))),3))</f>
        <v>3.3109999999999999</v>
      </c>
      <c r="V12" s="15">
        <f>IF('Legend Attributes'!V12=0,0,ROUND(IF(INDEX('Conversion Range'!$E$2:$E$35,MATCH(V$1,'Conversion Range'!$A$2:$A$35,0))=1,INDEX('Conversion Range'!$D$2:$D$35,MATCH(V$1,'Conversion Range'!$A$2:$A$35,0))-(('Legend Attributes'!V12-1)/19)*(INDEX('Conversion Range'!$D$2:$D$35,MATCH(V$1,'Conversion Range'!$A$2:$A$35,0))-INDEX('Conversion Range'!$C$2:$C$35,MATCH(V$1,'Conversion Range'!$A$2:$A$35,0))),INDEX('Conversion Range'!$C$2:$C$35,MATCH(V$1,'Conversion Range'!$A$2:$A$35,0))+(('Legend Attributes'!V12-1)/19)*(INDEX('Conversion Range'!$D$2:$D$35,MATCH(V$1,'Conversion Range'!$A$2:$A$35,0))-INDEX('Conversion Range'!$C$2:$C$35,MATCH(V$1,'Conversion Range'!$A$2:$A$35,0)))),3))</f>
        <v>58.420999999999999</v>
      </c>
      <c r="W12" s="15">
        <f>IF('Legend Attributes'!W12=0,0,ROUND(IF(INDEX('Conversion Range'!$E$2:$E$35,MATCH(W$1,'Conversion Range'!$A$2:$A$35,0))=1,INDEX('Conversion Range'!$D$2:$D$35,MATCH(W$1,'Conversion Range'!$A$2:$A$35,0))-(('Legend Attributes'!W12-1)/19)*(INDEX('Conversion Range'!$D$2:$D$35,MATCH(W$1,'Conversion Range'!$A$2:$A$35,0))-INDEX('Conversion Range'!$C$2:$C$35,MATCH(W$1,'Conversion Range'!$A$2:$A$35,0))),INDEX('Conversion Range'!$C$2:$C$35,MATCH(W$1,'Conversion Range'!$A$2:$A$35,0))+(('Legend Attributes'!W12-1)/19)*(INDEX('Conversion Range'!$D$2:$D$35,MATCH(W$1,'Conversion Range'!$A$2:$A$35,0))-INDEX('Conversion Range'!$C$2:$C$35,MATCH(W$1,'Conversion Range'!$A$2:$A$35,0)))),3))</f>
        <v>0.184</v>
      </c>
      <c r="X12" s="15">
        <f>IF('Legend Attributes'!X12=0,0,ROUND(IF(INDEX('Conversion Range'!$E$2:$E$35,MATCH(X$1,'Conversion Range'!$A$2:$A$35,0))=1,INDEX('Conversion Range'!$D$2:$D$35,MATCH(X$1,'Conversion Range'!$A$2:$A$35,0))-(('Legend Attributes'!X12-1)/19)*(INDEX('Conversion Range'!$D$2:$D$35,MATCH(X$1,'Conversion Range'!$A$2:$A$35,0))-INDEX('Conversion Range'!$C$2:$C$35,MATCH(X$1,'Conversion Range'!$A$2:$A$35,0))),INDEX('Conversion Range'!$C$2:$C$35,MATCH(X$1,'Conversion Range'!$A$2:$A$35,0))+(('Legend Attributes'!X12-1)/19)*(INDEX('Conversion Range'!$D$2:$D$35,MATCH(X$1,'Conversion Range'!$A$2:$A$35,0))-INDEX('Conversion Range'!$C$2:$C$35,MATCH(X$1,'Conversion Range'!$A$2:$A$35,0)))),3))</f>
        <v>0.34699999999999998</v>
      </c>
      <c r="Y12" s="15">
        <f>IF('Legend Attributes'!Y12=0,0,ROUND(IF(INDEX('Conversion Range'!$E$2:$E$35,MATCH(Y$1,'Conversion Range'!$A$2:$A$35,0))=1,INDEX('Conversion Range'!$D$2:$D$35,MATCH(Y$1,'Conversion Range'!$A$2:$A$35,0))-(('Legend Attributes'!Y12-1)/19)*(INDEX('Conversion Range'!$D$2:$D$35,MATCH(Y$1,'Conversion Range'!$A$2:$A$35,0))-INDEX('Conversion Range'!$C$2:$C$35,MATCH(Y$1,'Conversion Range'!$A$2:$A$35,0))),INDEX('Conversion Range'!$C$2:$C$35,MATCH(Y$1,'Conversion Range'!$A$2:$A$35,0))+(('Legend Attributes'!Y12-1)/19)*(INDEX('Conversion Range'!$D$2:$D$35,MATCH(Y$1,'Conversion Range'!$A$2:$A$35,0))-INDEX('Conversion Range'!$C$2:$C$35,MATCH(Y$1,'Conversion Range'!$A$2:$A$35,0)))),3))</f>
        <v>0.47399999999999998</v>
      </c>
      <c r="Z12" s="15">
        <f>IF('Legend Attributes'!Z12=0,0,ROUND(IF(INDEX('Conversion Range'!$E$2:$E$35,MATCH(Z$1,'Conversion Range'!$A$2:$A$35,0))=1,INDEX('Conversion Range'!$D$2:$D$35,MATCH(Z$1,'Conversion Range'!$A$2:$A$35,0))-(('Legend Attributes'!Z12-1)/19)*(INDEX('Conversion Range'!$D$2:$D$35,MATCH(Z$1,'Conversion Range'!$A$2:$A$35,0))-INDEX('Conversion Range'!$C$2:$C$35,MATCH(Z$1,'Conversion Range'!$A$2:$A$35,0))),INDEX('Conversion Range'!$C$2:$C$35,MATCH(Z$1,'Conversion Range'!$A$2:$A$35,0))+(('Legend Attributes'!Z12-1)/19)*(INDEX('Conversion Range'!$D$2:$D$35,MATCH(Z$1,'Conversion Range'!$A$2:$A$35,0))-INDEX('Conversion Range'!$C$2:$C$35,MATCH(Z$1,'Conversion Range'!$A$2:$A$35,0)))),3))</f>
        <v>10.079000000000001</v>
      </c>
      <c r="AA12" s="15">
        <f>IF('Legend Attributes'!AA12=0,0,ROUND(IF(INDEX('Conversion Range'!$E$2:$E$35,MATCH(AA$1,'Conversion Range'!$A$2:$A$35,0))=1,INDEX('Conversion Range'!$D$2:$D$35,MATCH(AA$1,'Conversion Range'!$A$2:$A$35,0))-(('Legend Attributes'!AA12-1)/19)*(INDEX('Conversion Range'!$D$2:$D$35,MATCH(AA$1,'Conversion Range'!$A$2:$A$35,0))-INDEX('Conversion Range'!$C$2:$C$35,MATCH(AA$1,'Conversion Range'!$A$2:$A$35,0))),INDEX('Conversion Range'!$C$2:$C$35,MATCH(AA$1,'Conversion Range'!$A$2:$A$35,0))+(('Legend Attributes'!AA12-1)/19)*(INDEX('Conversion Range'!$D$2:$D$35,MATCH(AA$1,'Conversion Range'!$A$2:$A$35,0))-INDEX('Conversion Range'!$C$2:$C$35,MATCH(AA$1,'Conversion Range'!$A$2:$A$35,0)))),3))</f>
        <v>0.129</v>
      </c>
      <c r="AB12" s="15">
        <f>IF('Legend Attributes'!AB12=0,0,ROUND(IF(INDEX('Conversion Range'!$E$2:$E$35,MATCH(AB$1,'Conversion Range'!$A$2:$A$35,0))=1,INDEX('Conversion Range'!$D$2:$D$35,MATCH(AB$1,'Conversion Range'!$A$2:$A$35,0))-(('Legend Attributes'!AB12-1)/19)*(INDEX('Conversion Range'!$D$2:$D$35,MATCH(AB$1,'Conversion Range'!$A$2:$A$35,0))-INDEX('Conversion Range'!$C$2:$C$35,MATCH(AB$1,'Conversion Range'!$A$2:$A$35,0))),INDEX('Conversion Range'!$C$2:$C$35,MATCH(AB$1,'Conversion Range'!$A$2:$A$35,0))+(('Legend Attributes'!AB12-1)/19)*(INDEX('Conversion Range'!$D$2:$D$35,MATCH(AB$1,'Conversion Range'!$A$2:$A$35,0))-INDEX('Conversion Range'!$C$2:$C$35,MATCH(AB$1,'Conversion Range'!$A$2:$A$35,0)))),3))</f>
        <v>0.57099999999999995</v>
      </c>
      <c r="AC12" s="15">
        <f>IF('Legend Attributes'!AC12=0,0,ROUND(IF(INDEX('Conversion Range'!$E$2:$E$35,MATCH(AC$1,'Conversion Range'!$A$2:$A$35,0))=1,INDEX('Conversion Range'!$D$2:$D$35,MATCH(AC$1,'Conversion Range'!$A$2:$A$35,0))-(('Legend Attributes'!AC12-1)/19)*(INDEX('Conversion Range'!$D$2:$D$35,MATCH(AC$1,'Conversion Range'!$A$2:$A$35,0))-INDEX('Conversion Range'!$C$2:$C$35,MATCH(AC$1,'Conversion Range'!$A$2:$A$35,0))),INDEX('Conversion Range'!$C$2:$C$35,MATCH(AC$1,'Conversion Range'!$A$2:$A$35,0))+(('Legend Attributes'!AC12-1)/19)*(INDEX('Conversion Range'!$D$2:$D$35,MATCH(AC$1,'Conversion Range'!$A$2:$A$35,0))-INDEX('Conversion Range'!$C$2:$C$35,MATCH(AC$1,'Conversion Range'!$A$2:$A$35,0)))),3))</f>
        <v>0.33100000000000002</v>
      </c>
      <c r="AD12" s="15">
        <f>IF('Legend Attributes'!AD12=0,0,ROUND(IF(INDEX('Conversion Range'!$E$2:$E$35,MATCH(AD$1,'Conversion Range'!$A$2:$A$35,0))=1,INDEX('Conversion Range'!$D$2:$D$35,MATCH(AD$1,'Conversion Range'!$A$2:$A$35,0))-(('Legend Attributes'!AD12-1)/19)*(INDEX('Conversion Range'!$D$2:$D$35,MATCH(AD$1,'Conversion Range'!$A$2:$A$35,0))-INDEX('Conversion Range'!$C$2:$C$35,MATCH(AD$1,'Conversion Range'!$A$2:$A$35,0))),INDEX('Conversion Range'!$C$2:$C$35,MATCH(AD$1,'Conversion Range'!$A$2:$A$35,0))+(('Legend Attributes'!AD12-1)/19)*(INDEX('Conversion Range'!$D$2:$D$35,MATCH(AD$1,'Conversion Range'!$A$2:$A$35,0))-INDEX('Conversion Range'!$C$2:$C$35,MATCH(AD$1,'Conversion Range'!$A$2:$A$35,0)))),3))</f>
        <v>0</v>
      </c>
      <c r="AE12" s="15">
        <f>IF('Legend Attributes'!AE12=0,0,ROUND(IF(INDEX('Conversion Range'!$E$2:$E$35,MATCH(AE$1,'Conversion Range'!$A$2:$A$35,0))=1,INDEX('Conversion Range'!$D$2:$D$35,MATCH(AE$1,'Conversion Range'!$A$2:$A$35,0))-(('Legend Attributes'!AE12-1)/19)*(INDEX('Conversion Range'!$D$2:$D$35,MATCH(AE$1,'Conversion Range'!$A$2:$A$35,0))-INDEX('Conversion Range'!$C$2:$C$35,MATCH(AE$1,'Conversion Range'!$A$2:$A$35,0))),INDEX('Conversion Range'!$C$2:$C$35,MATCH(AE$1,'Conversion Range'!$A$2:$A$35,0))+(('Legend Attributes'!AE12-1)/19)*(INDEX('Conversion Range'!$D$2:$D$35,MATCH(AE$1,'Conversion Range'!$A$2:$A$35,0))-INDEX('Conversion Range'!$C$2:$C$35,MATCH(AE$1,'Conversion Range'!$A$2:$A$35,0)))),3))</f>
        <v>0</v>
      </c>
      <c r="AF12" s="15">
        <f>IF('Legend Attributes'!AF12=0,0,ROUND(IF(INDEX('Conversion Range'!$E$2:$E$35,MATCH(AF$1,'Conversion Range'!$A$2:$A$35,0))=1,INDEX('Conversion Range'!$D$2:$D$35,MATCH(AF$1,'Conversion Range'!$A$2:$A$35,0))-(('Legend Attributes'!AF12-1)/19)*(INDEX('Conversion Range'!$D$2:$D$35,MATCH(AF$1,'Conversion Range'!$A$2:$A$35,0))-INDEX('Conversion Range'!$C$2:$C$35,MATCH(AF$1,'Conversion Range'!$A$2:$A$35,0))),INDEX('Conversion Range'!$C$2:$C$35,MATCH(AF$1,'Conversion Range'!$A$2:$A$35,0))+(('Legend Attributes'!AF12-1)/19)*(INDEX('Conversion Range'!$D$2:$D$35,MATCH(AF$1,'Conversion Range'!$A$2:$A$35,0))-INDEX('Conversion Range'!$C$2:$C$35,MATCH(AF$1,'Conversion Range'!$A$2:$A$35,0)))),3))</f>
        <v>0</v>
      </c>
      <c r="AG12" s="15">
        <f>IF('Legend Attributes'!AG12=0,0,ROUND(IF(INDEX('Conversion Range'!$E$2:$E$35,MATCH(AG$1,'Conversion Range'!$A$2:$A$35,0))=1,INDEX('Conversion Range'!$D$2:$D$35,MATCH(AG$1,'Conversion Range'!$A$2:$A$35,0))-(('Legend Attributes'!AG12-1)/19)*(INDEX('Conversion Range'!$D$2:$D$35,MATCH(AG$1,'Conversion Range'!$A$2:$A$35,0))-INDEX('Conversion Range'!$C$2:$C$35,MATCH(AG$1,'Conversion Range'!$A$2:$A$35,0))),INDEX('Conversion Range'!$C$2:$C$35,MATCH(AG$1,'Conversion Range'!$A$2:$A$35,0))+(('Legend Attributes'!AG12-1)/19)*(INDEX('Conversion Range'!$D$2:$D$35,MATCH(AG$1,'Conversion Range'!$A$2:$A$35,0))-INDEX('Conversion Range'!$C$2:$C$35,MATCH(AG$1,'Conversion Range'!$A$2:$A$35,0)))),3))</f>
        <v>1.0529999999999999</v>
      </c>
      <c r="AH12" s="15">
        <f>IF('Legend Attributes'!AH12=0,0,ROUND(IF(INDEX('Conversion Range'!$E$2:$E$35,MATCH(AH$1,'Conversion Range'!$A$2:$A$35,0))=1,INDEX('Conversion Range'!$D$2:$D$35,MATCH(AH$1,'Conversion Range'!$A$2:$A$35,0))-(('Legend Attributes'!AH12-1)/19)*(INDEX('Conversion Range'!$D$2:$D$35,MATCH(AH$1,'Conversion Range'!$A$2:$A$35,0))-INDEX('Conversion Range'!$C$2:$C$35,MATCH(AH$1,'Conversion Range'!$A$2:$A$35,0))),INDEX('Conversion Range'!$C$2:$C$35,MATCH(AH$1,'Conversion Range'!$A$2:$A$35,0))+(('Legend Attributes'!AH12-1)/19)*(INDEX('Conversion Range'!$D$2:$D$35,MATCH(AH$1,'Conversion Range'!$A$2:$A$35,0))-INDEX('Conversion Range'!$C$2:$C$35,MATCH(AH$1,'Conversion Range'!$A$2:$A$35,0)))),3))</f>
        <v>0.246</v>
      </c>
      <c r="AI12" s="15">
        <f>IF('Legend Attributes'!AI12=0,0,ROUND(IF(INDEX('Conversion Range'!$E$2:$E$35,MATCH(AI$1,'Conversion Range'!$A$2:$A$35,0))=1,INDEX('Conversion Range'!$D$2:$D$35,MATCH(AI$1,'Conversion Range'!$A$2:$A$35,0))-(('Legend Attributes'!AI12-1)/19)*(INDEX('Conversion Range'!$D$2:$D$35,MATCH(AI$1,'Conversion Range'!$A$2:$A$35,0))-INDEX('Conversion Range'!$C$2:$C$35,MATCH(AI$1,'Conversion Range'!$A$2:$A$35,0))),INDEX('Conversion Range'!$C$2:$C$35,MATCH(AI$1,'Conversion Range'!$A$2:$A$35,0))+(('Legend Attributes'!AI12-1)/19)*(INDEX('Conversion Range'!$D$2:$D$35,MATCH(AI$1,'Conversion Range'!$A$2:$A$35,0))-INDEX('Conversion Range'!$C$2:$C$35,MATCH(AI$1,'Conversion Range'!$A$2:$A$35,0)))),3))</f>
        <v>5.7000000000000002E-2</v>
      </c>
      <c r="AJ12" s="15">
        <f>IF('Legend Attributes'!AJ12=0,0,ROUND(IF(INDEX('Conversion Range'!$E$2:$E$35,MATCH(AJ$1,'Conversion Range'!$A$2:$A$35,0))=1,INDEX('Conversion Range'!$D$2:$D$35,MATCH(AJ$1,'Conversion Range'!$A$2:$A$35,0))-(('Legend Attributes'!AJ12-1)/19)*(INDEX('Conversion Range'!$D$2:$D$35,MATCH(AJ$1,'Conversion Range'!$A$2:$A$35,0))-INDEX('Conversion Range'!$C$2:$C$35,MATCH(AJ$1,'Conversion Range'!$A$2:$A$35,0))),INDEX('Conversion Range'!$C$2:$C$35,MATCH(AJ$1,'Conversion Range'!$A$2:$A$35,0))+(('Legend Attributes'!AJ12-1)/19)*(INDEX('Conversion Range'!$D$2:$D$35,MATCH(AJ$1,'Conversion Range'!$A$2:$A$35,0))-INDEX('Conversion Range'!$C$2:$C$35,MATCH(AJ$1,'Conversion Range'!$A$2:$A$35,0)))),3))</f>
        <v>7.8209999999999997</v>
      </c>
    </row>
    <row r="13" spans="1:36" x14ac:dyDescent="0.35">
      <c r="A13" s="14" t="str">
        <f>'Legend Attributes'!A13</f>
        <v>Cesc Fàbregas</v>
      </c>
      <c r="B13" s="15" t="str">
        <f>'Legend Attributes'!B13</f>
        <v>CM</v>
      </c>
      <c r="C13" s="15">
        <f>IF('Legend Attributes'!C13=0,0,ROUND(IF(INDEX('Conversion Range'!$E$2:$E$35,MATCH(C$1,'Conversion Range'!$A$2:$A$35,0))=1,INDEX('Conversion Range'!$D$2:$D$35,MATCH(C$1,'Conversion Range'!$A$2:$A$35,0))-(('Legend Attributes'!C13-1)/19)*(INDEX('Conversion Range'!$D$2:$D$35,MATCH(C$1,'Conversion Range'!$A$2:$A$35,0))-INDEX('Conversion Range'!$C$2:$C$35,MATCH(C$1,'Conversion Range'!$A$2:$A$35,0))),INDEX('Conversion Range'!$C$2:$C$35,MATCH(C$1,'Conversion Range'!$A$2:$A$35,0))+(('Legend Attributes'!C13-1)/19)*(INDEX('Conversion Range'!$D$2:$D$35,MATCH(C$1,'Conversion Range'!$A$2:$A$35,0))-INDEX('Conversion Range'!$C$2:$C$35,MATCH(C$1,'Conversion Range'!$A$2:$A$35,0)))),3))</f>
        <v>0.36899999999999999</v>
      </c>
      <c r="D13" s="15">
        <f>IF('Legend Attributes'!D13=0,0,ROUND(IF(INDEX('Conversion Range'!$E$2:$E$35,MATCH(D$1,'Conversion Range'!$A$2:$A$35,0))=1,INDEX('Conversion Range'!$D$2:$D$35,MATCH(D$1,'Conversion Range'!$A$2:$A$35,0))-(('Legend Attributes'!D13-1)/19)*(INDEX('Conversion Range'!$D$2:$D$35,MATCH(D$1,'Conversion Range'!$A$2:$A$35,0))-INDEX('Conversion Range'!$C$2:$C$35,MATCH(D$1,'Conversion Range'!$A$2:$A$35,0))),INDEX('Conversion Range'!$C$2:$C$35,MATCH(D$1,'Conversion Range'!$A$2:$A$35,0))+(('Legend Attributes'!D13-1)/19)*(INDEX('Conversion Range'!$D$2:$D$35,MATCH(D$1,'Conversion Range'!$A$2:$A$35,0))-INDEX('Conversion Range'!$C$2:$C$35,MATCH(D$1,'Conversion Range'!$A$2:$A$35,0)))),3))</f>
        <v>0.32700000000000001</v>
      </c>
      <c r="E13" s="15">
        <f>IF('Legend Attributes'!E13=0,0,ROUND(IF(INDEX('Conversion Range'!$E$2:$E$35,MATCH(E$1,'Conversion Range'!$A$2:$A$35,0))=1,INDEX('Conversion Range'!$D$2:$D$35,MATCH(E$1,'Conversion Range'!$A$2:$A$35,0))-(('Legend Attributes'!E13-1)/19)*(INDEX('Conversion Range'!$D$2:$D$35,MATCH(E$1,'Conversion Range'!$A$2:$A$35,0))-INDEX('Conversion Range'!$C$2:$C$35,MATCH(E$1,'Conversion Range'!$A$2:$A$35,0))),INDEX('Conversion Range'!$C$2:$C$35,MATCH(E$1,'Conversion Range'!$A$2:$A$35,0))+(('Legend Attributes'!E13-1)/19)*(INDEX('Conversion Range'!$D$2:$D$35,MATCH(E$1,'Conversion Range'!$A$2:$A$35,0))-INDEX('Conversion Range'!$C$2:$C$35,MATCH(E$1,'Conversion Range'!$A$2:$A$35,0)))),3))</f>
        <v>0.49299999999999999</v>
      </c>
      <c r="F13" s="15">
        <f>IF('Legend Attributes'!F13=0,0,ROUND(IF(INDEX('Conversion Range'!$E$2:$E$35,MATCH(F$1,'Conversion Range'!$A$2:$A$35,0))=1,INDEX('Conversion Range'!$D$2:$D$35,MATCH(F$1,'Conversion Range'!$A$2:$A$35,0))-(('Legend Attributes'!F13-1)/19)*(INDEX('Conversion Range'!$D$2:$D$35,MATCH(F$1,'Conversion Range'!$A$2:$A$35,0))-INDEX('Conversion Range'!$C$2:$C$35,MATCH(F$1,'Conversion Range'!$A$2:$A$35,0))),INDEX('Conversion Range'!$C$2:$C$35,MATCH(F$1,'Conversion Range'!$A$2:$A$35,0))+(('Legend Attributes'!F13-1)/19)*(INDEX('Conversion Range'!$D$2:$D$35,MATCH(F$1,'Conversion Range'!$A$2:$A$35,0))-INDEX('Conversion Range'!$C$2:$C$35,MATCH(F$1,'Conversion Range'!$A$2:$A$35,0)))),3))</f>
        <v>1.7709999999999999</v>
      </c>
      <c r="G13" s="15">
        <f>IF('Legend Attributes'!G13=0,0,ROUND(IF(INDEX('Conversion Range'!$E$2:$E$35,MATCH(G$1,'Conversion Range'!$A$2:$A$35,0))=1,INDEX('Conversion Range'!$D$2:$D$35,MATCH(G$1,'Conversion Range'!$A$2:$A$35,0))-(('Legend Attributes'!G13-1)/19)*(INDEX('Conversion Range'!$D$2:$D$35,MATCH(G$1,'Conversion Range'!$A$2:$A$35,0))-INDEX('Conversion Range'!$C$2:$C$35,MATCH(G$1,'Conversion Range'!$A$2:$A$35,0))),INDEX('Conversion Range'!$C$2:$C$35,MATCH(G$1,'Conversion Range'!$A$2:$A$35,0))+(('Legend Attributes'!G13-1)/19)*(INDEX('Conversion Range'!$D$2:$D$35,MATCH(G$1,'Conversion Range'!$A$2:$A$35,0))-INDEX('Conversion Range'!$C$2:$C$35,MATCH(G$1,'Conversion Range'!$A$2:$A$35,0)))),3))</f>
        <v>0.78100000000000003</v>
      </c>
      <c r="H13" s="15">
        <f>IF('Legend Attributes'!H13=0,0,ROUND(IF(INDEX('Conversion Range'!$E$2:$E$35,MATCH(H$1,'Conversion Range'!$A$2:$A$35,0))=1,INDEX('Conversion Range'!$D$2:$D$35,MATCH(H$1,'Conversion Range'!$A$2:$A$35,0))-(('Legend Attributes'!H13-1)/19)*(INDEX('Conversion Range'!$D$2:$D$35,MATCH(H$1,'Conversion Range'!$A$2:$A$35,0))-INDEX('Conversion Range'!$C$2:$C$35,MATCH(H$1,'Conversion Range'!$A$2:$A$35,0))),INDEX('Conversion Range'!$C$2:$C$35,MATCH(H$1,'Conversion Range'!$A$2:$A$35,0))+(('Legend Attributes'!H13-1)/19)*(INDEX('Conversion Range'!$D$2:$D$35,MATCH(H$1,'Conversion Range'!$A$2:$A$35,0))-INDEX('Conversion Range'!$C$2:$C$35,MATCH(H$1,'Conversion Range'!$A$2:$A$35,0)))),3))</f>
        <v>0.42099999999999999</v>
      </c>
      <c r="I13" s="15">
        <f>IF('Legend Attributes'!I13=0,0,ROUND(IF(INDEX('Conversion Range'!$E$2:$E$35,MATCH(I$1,'Conversion Range'!$A$2:$A$35,0))=1,INDEX('Conversion Range'!$D$2:$D$35,MATCH(I$1,'Conversion Range'!$A$2:$A$35,0))-(('Legend Attributes'!I13-1)/19)*(INDEX('Conversion Range'!$D$2:$D$35,MATCH(I$1,'Conversion Range'!$A$2:$A$35,0))-INDEX('Conversion Range'!$C$2:$C$35,MATCH(I$1,'Conversion Range'!$A$2:$A$35,0))),INDEX('Conversion Range'!$C$2:$C$35,MATCH(I$1,'Conversion Range'!$A$2:$A$35,0))+(('Legend Attributes'!I13-1)/19)*(INDEX('Conversion Range'!$D$2:$D$35,MATCH(I$1,'Conversion Range'!$A$2:$A$35,0))-INDEX('Conversion Range'!$C$2:$C$35,MATCH(I$1,'Conversion Range'!$A$2:$A$35,0)))),3))</f>
        <v>2.468</v>
      </c>
      <c r="J13" s="15">
        <f>IF('Legend Attributes'!J13=0,0,ROUND(IF(INDEX('Conversion Range'!$E$2:$E$35,MATCH(J$1,'Conversion Range'!$A$2:$A$35,0))=1,INDEX('Conversion Range'!$D$2:$D$35,MATCH(J$1,'Conversion Range'!$A$2:$A$35,0))-(('Legend Attributes'!J13-1)/19)*(INDEX('Conversion Range'!$D$2:$D$35,MATCH(J$1,'Conversion Range'!$A$2:$A$35,0))-INDEX('Conversion Range'!$C$2:$C$35,MATCH(J$1,'Conversion Range'!$A$2:$A$35,0))),INDEX('Conversion Range'!$C$2:$C$35,MATCH(J$1,'Conversion Range'!$A$2:$A$35,0))+(('Legend Attributes'!J13-1)/19)*(INDEX('Conversion Range'!$D$2:$D$35,MATCH(J$1,'Conversion Range'!$A$2:$A$35,0))-INDEX('Conversion Range'!$C$2:$C$35,MATCH(J$1,'Conversion Range'!$A$2:$A$35,0)))),3))</f>
        <v>1.179</v>
      </c>
      <c r="K13" s="15">
        <f>IF('Legend Attributes'!K13=0,0,ROUND(IF(INDEX('Conversion Range'!$E$2:$E$35,MATCH(K$1,'Conversion Range'!$A$2:$A$35,0))=1,INDEX('Conversion Range'!$D$2:$D$35,MATCH(K$1,'Conversion Range'!$A$2:$A$35,0))-(('Legend Attributes'!K13-1)/19)*(INDEX('Conversion Range'!$D$2:$D$35,MATCH(K$1,'Conversion Range'!$A$2:$A$35,0))-INDEX('Conversion Range'!$C$2:$C$35,MATCH(K$1,'Conversion Range'!$A$2:$A$35,0))),INDEX('Conversion Range'!$C$2:$C$35,MATCH(K$1,'Conversion Range'!$A$2:$A$35,0))+(('Legend Attributes'!K13-1)/19)*(INDEX('Conversion Range'!$D$2:$D$35,MATCH(K$1,'Conversion Range'!$A$2:$A$35,0))-INDEX('Conversion Range'!$C$2:$C$35,MATCH(K$1,'Conversion Range'!$A$2:$A$35,0)))),3))</f>
        <v>0.91100000000000003</v>
      </c>
      <c r="L13" s="15">
        <f>IF('Legend Attributes'!L13=0,0,ROUND(IF(INDEX('Conversion Range'!$E$2:$E$35,MATCH(L$1,'Conversion Range'!$A$2:$A$35,0))=1,INDEX('Conversion Range'!$D$2:$D$35,MATCH(L$1,'Conversion Range'!$A$2:$A$35,0))-(('Legend Attributes'!L13-1)/19)*(INDEX('Conversion Range'!$D$2:$D$35,MATCH(L$1,'Conversion Range'!$A$2:$A$35,0))-INDEX('Conversion Range'!$C$2:$C$35,MATCH(L$1,'Conversion Range'!$A$2:$A$35,0))),INDEX('Conversion Range'!$C$2:$C$35,MATCH(L$1,'Conversion Range'!$A$2:$A$35,0))+(('Legend Attributes'!L13-1)/19)*(INDEX('Conversion Range'!$D$2:$D$35,MATCH(L$1,'Conversion Range'!$A$2:$A$35,0))-INDEX('Conversion Range'!$C$2:$C$35,MATCH(L$1,'Conversion Range'!$A$2:$A$35,0)))),3))</f>
        <v>0.32600000000000001</v>
      </c>
      <c r="M13" s="15">
        <f>IF('Legend Attributes'!M13=0,0,ROUND(IF(INDEX('Conversion Range'!$E$2:$E$35,MATCH(M$1,'Conversion Range'!$A$2:$A$35,0))=1,INDEX('Conversion Range'!$D$2:$D$35,MATCH(M$1,'Conversion Range'!$A$2:$A$35,0))-(('Legend Attributes'!M13-1)/19)*(INDEX('Conversion Range'!$D$2:$D$35,MATCH(M$1,'Conversion Range'!$A$2:$A$35,0))-INDEX('Conversion Range'!$C$2:$C$35,MATCH(M$1,'Conversion Range'!$A$2:$A$35,0))),INDEX('Conversion Range'!$C$2:$C$35,MATCH(M$1,'Conversion Range'!$A$2:$A$35,0))+(('Legend Attributes'!M13-1)/19)*(INDEX('Conversion Range'!$D$2:$D$35,MATCH(M$1,'Conversion Range'!$A$2:$A$35,0))-INDEX('Conversion Range'!$C$2:$C$35,MATCH(M$1,'Conversion Range'!$A$2:$A$35,0)))),3))</f>
        <v>0.16800000000000001</v>
      </c>
      <c r="N13" s="15">
        <f>IF('Legend Attributes'!N13=0,0,ROUND(IF(INDEX('Conversion Range'!$E$2:$E$35,MATCH(N$1,'Conversion Range'!$A$2:$A$35,0))=1,INDEX('Conversion Range'!$D$2:$D$35,MATCH(N$1,'Conversion Range'!$A$2:$A$35,0))-(('Legend Attributes'!N13-1)/19)*(INDEX('Conversion Range'!$D$2:$D$35,MATCH(N$1,'Conversion Range'!$A$2:$A$35,0))-INDEX('Conversion Range'!$C$2:$C$35,MATCH(N$1,'Conversion Range'!$A$2:$A$35,0))),INDEX('Conversion Range'!$C$2:$C$35,MATCH(N$1,'Conversion Range'!$A$2:$A$35,0))+(('Legend Attributes'!N13-1)/19)*(INDEX('Conversion Range'!$D$2:$D$35,MATCH(N$1,'Conversion Range'!$A$2:$A$35,0))-INDEX('Conversion Range'!$C$2:$C$35,MATCH(N$1,'Conversion Range'!$A$2:$A$35,0)))),3))</f>
        <v>5.5529999999999999</v>
      </c>
      <c r="O13" s="15">
        <f>IF('Legend Attributes'!O13=0,0,ROUND(IF(INDEX('Conversion Range'!$E$2:$E$35,MATCH(O$1,'Conversion Range'!$A$2:$A$35,0))=1,INDEX('Conversion Range'!$D$2:$D$35,MATCH(O$1,'Conversion Range'!$A$2:$A$35,0))-(('Legend Attributes'!O13-1)/19)*(INDEX('Conversion Range'!$D$2:$D$35,MATCH(O$1,'Conversion Range'!$A$2:$A$35,0))-INDEX('Conversion Range'!$C$2:$C$35,MATCH(O$1,'Conversion Range'!$A$2:$A$35,0))),INDEX('Conversion Range'!$C$2:$C$35,MATCH(O$1,'Conversion Range'!$A$2:$A$35,0))+(('Legend Attributes'!O13-1)/19)*(INDEX('Conversion Range'!$D$2:$D$35,MATCH(O$1,'Conversion Range'!$A$2:$A$35,0))-INDEX('Conversion Range'!$C$2:$C$35,MATCH(O$1,'Conversion Range'!$A$2:$A$35,0)))),3))</f>
        <v>1.5680000000000001</v>
      </c>
      <c r="P13" s="15">
        <f>IF('Legend Attributes'!P13=0,0,ROUND(IF(INDEX('Conversion Range'!$E$2:$E$35,MATCH(P$1,'Conversion Range'!$A$2:$A$35,0))=1,INDEX('Conversion Range'!$D$2:$D$35,MATCH(P$1,'Conversion Range'!$A$2:$A$35,0))-(('Legend Attributes'!P13-1)/19)*(INDEX('Conversion Range'!$D$2:$D$35,MATCH(P$1,'Conversion Range'!$A$2:$A$35,0))-INDEX('Conversion Range'!$C$2:$C$35,MATCH(P$1,'Conversion Range'!$A$2:$A$35,0))),INDEX('Conversion Range'!$C$2:$C$35,MATCH(P$1,'Conversion Range'!$A$2:$A$35,0))+(('Legend Attributes'!P13-1)/19)*(INDEX('Conversion Range'!$D$2:$D$35,MATCH(P$1,'Conversion Range'!$A$2:$A$35,0))-INDEX('Conversion Range'!$C$2:$C$35,MATCH(P$1,'Conversion Range'!$A$2:$A$35,0)))),3))</f>
        <v>61.841999999999999</v>
      </c>
      <c r="Q13" s="15">
        <f>IF('Legend Attributes'!Q13=0,0,ROUND(IF(INDEX('Conversion Range'!$E$2:$E$35,MATCH(Q$1,'Conversion Range'!$A$2:$A$35,0))=1,INDEX('Conversion Range'!$D$2:$D$35,MATCH(Q$1,'Conversion Range'!$A$2:$A$35,0))-(('Legend Attributes'!Q13-1)/19)*(INDEX('Conversion Range'!$D$2:$D$35,MATCH(Q$1,'Conversion Range'!$A$2:$A$35,0))-INDEX('Conversion Range'!$C$2:$C$35,MATCH(Q$1,'Conversion Range'!$A$2:$A$35,0))),INDEX('Conversion Range'!$C$2:$C$35,MATCH(Q$1,'Conversion Range'!$A$2:$A$35,0))+(('Legend Attributes'!Q13-1)/19)*(INDEX('Conversion Range'!$D$2:$D$35,MATCH(Q$1,'Conversion Range'!$A$2:$A$35,0))-INDEX('Conversion Range'!$C$2:$C$35,MATCH(Q$1,'Conversion Range'!$A$2:$A$35,0)))),3))</f>
        <v>47.158000000000001</v>
      </c>
      <c r="R13" s="15">
        <f>IF('Legend Attributes'!R13=0,0,ROUND(IF(INDEX('Conversion Range'!$E$2:$E$35,MATCH(R$1,'Conversion Range'!$A$2:$A$35,0))=1,INDEX('Conversion Range'!$D$2:$D$35,MATCH(R$1,'Conversion Range'!$A$2:$A$35,0))-(('Legend Attributes'!R13-1)/19)*(INDEX('Conversion Range'!$D$2:$D$35,MATCH(R$1,'Conversion Range'!$A$2:$A$35,0))-INDEX('Conversion Range'!$C$2:$C$35,MATCH(R$1,'Conversion Range'!$A$2:$A$35,0))),INDEX('Conversion Range'!$C$2:$C$35,MATCH(R$1,'Conversion Range'!$A$2:$A$35,0))+(('Legend Attributes'!R13-1)/19)*(INDEX('Conversion Range'!$D$2:$D$35,MATCH(R$1,'Conversion Range'!$A$2:$A$35,0))-INDEX('Conversion Range'!$C$2:$C$35,MATCH(R$1,'Conversion Range'!$A$2:$A$35,0)))),3))</f>
        <v>86.578999999999994</v>
      </c>
      <c r="S13" s="15">
        <f>IF('Legend Attributes'!S13=0,0,ROUND(IF(INDEX('Conversion Range'!$E$2:$E$35,MATCH(S$1,'Conversion Range'!$A$2:$A$35,0))=1,INDEX('Conversion Range'!$D$2:$D$35,MATCH(S$1,'Conversion Range'!$A$2:$A$35,0))-(('Legend Attributes'!S13-1)/19)*(INDEX('Conversion Range'!$D$2:$D$35,MATCH(S$1,'Conversion Range'!$A$2:$A$35,0))-INDEX('Conversion Range'!$C$2:$C$35,MATCH(S$1,'Conversion Range'!$A$2:$A$35,0))),INDEX('Conversion Range'!$C$2:$C$35,MATCH(S$1,'Conversion Range'!$A$2:$A$35,0))+(('Legend Attributes'!S13-1)/19)*(INDEX('Conversion Range'!$D$2:$D$35,MATCH(S$1,'Conversion Range'!$A$2:$A$35,0))-INDEX('Conversion Range'!$C$2:$C$35,MATCH(S$1,'Conversion Range'!$A$2:$A$35,0)))),3))</f>
        <v>4.6159999999999997</v>
      </c>
      <c r="T13" s="15">
        <f>IF('Legend Attributes'!T13=0,0,ROUND(IF(INDEX('Conversion Range'!$E$2:$E$35,MATCH(T$1,'Conversion Range'!$A$2:$A$35,0))=1,INDEX('Conversion Range'!$D$2:$D$35,MATCH(T$1,'Conversion Range'!$A$2:$A$35,0))-(('Legend Attributes'!T13-1)/19)*(INDEX('Conversion Range'!$D$2:$D$35,MATCH(T$1,'Conversion Range'!$A$2:$A$35,0))-INDEX('Conversion Range'!$C$2:$C$35,MATCH(T$1,'Conversion Range'!$A$2:$A$35,0))),INDEX('Conversion Range'!$C$2:$C$35,MATCH(T$1,'Conversion Range'!$A$2:$A$35,0))+(('Legend Attributes'!T13-1)/19)*(INDEX('Conversion Range'!$D$2:$D$35,MATCH(T$1,'Conversion Range'!$A$2:$A$35,0))-INDEX('Conversion Range'!$C$2:$C$35,MATCH(T$1,'Conversion Range'!$A$2:$A$35,0)))),3))</f>
        <v>56.683999999999997</v>
      </c>
      <c r="U13" s="15">
        <f>IF('Legend Attributes'!U13=0,0,ROUND(IF(INDEX('Conversion Range'!$E$2:$E$35,MATCH(U$1,'Conversion Range'!$A$2:$A$35,0))=1,INDEX('Conversion Range'!$D$2:$D$35,MATCH(U$1,'Conversion Range'!$A$2:$A$35,0))-(('Legend Attributes'!U13-1)/19)*(INDEX('Conversion Range'!$D$2:$D$35,MATCH(U$1,'Conversion Range'!$A$2:$A$35,0))-INDEX('Conversion Range'!$C$2:$C$35,MATCH(U$1,'Conversion Range'!$A$2:$A$35,0))),INDEX('Conversion Range'!$C$2:$C$35,MATCH(U$1,'Conversion Range'!$A$2:$A$35,0))+(('Legend Attributes'!U13-1)/19)*(INDEX('Conversion Range'!$D$2:$D$35,MATCH(U$1,'Conversion Range'!$A$2:$A$35,0))-INDEX('Conversion Range'!$C$2:$C$35,MATCH(U$1,'Conversion Range'!$A$2:$A$35,0)))),3))</f>
        <v>1.121</v>
      </c>
      <c r="V13" s="15">
        <f>IF('Legend Attributes'!V13=0,0,ROUND(IF(INDEX('Conversion Range'!$E$2:$E$35,MATCH(V$1,'Conversion Range'!$A$2:$A$35,0))=1,INDEX('Conversion Range'!$D$2:$D$35,MATCH(V$1,'Conversion Range'!$A$2:$A$35,0))-(('Legend Attributes'!V13-1)/19)*(INDEX('Conversion Range'!$D$2:$D$35,MATCH(V$1,'Conversion Range'!$A$2:$A$35,0))-INDEX('Conversion Range'!$C$2:$C$35,MATCH(V$1,'Conversion Range'!$A$2:$A$35,0))),INDEX('Conversion Range'!$C$2:$C$35,MATCH(V$1,'Conversion Range'!$A$2:$A$35,0))+(('Legend Attributes'!V13-1)/19)*(INDEX('Conversion Range'!$D$2:$D$35,MATCH(V$1,'Conversion Range'!$A$2:$A$35,0))-INDEX('Conversion Range'!$C$2:$C$35,MATCH(V$1,'Conversion Range'!$A$2:$A$35,0)))),3))</f>
        <v>44.210999999999999</v>
      </c>
      <c r="W13" s="15">
        <f>IF('Legend Attributes'!W13=0,0,ROUND(IF(INDEX('Conversion Range'!$E$2:$E$35,MATCH(W$1,'Conversion Range'!$A$2:$A$35,0))=1,INDEX('Conversion Range'!$D$2:$D$35,MATCH(W$1,'Conversion Range'!$A$2:$A$35,0))-(('Legend Attributes'!W13-1)/19)*(INDEX('Conversion Range'!$D$2:$D$35,MATCH(W$1,'Conversion Range'!$A$2:$A$35,0))-INDEX('Conversion Range'!$C$2:$C$35,MATCH(W$1,'Conversion Range'!$A$2:$A$35,0))),INDEX('Conversion Range'!$C$2:$C$35,MATCH(W$1,'Conversion Range'!$A$2:$A$35,0))+(('Legend Attributes'!W13-1)/19)*(INDEX('Conversion Range'!$D$2:$D$35,MATCH(W$1,'Conversion Range'!$A$2:$A$35,0))-INDEX('Conversion Range'!$C$2:$C$35,MATCH(W$1,'Conversion Range'!$A$2:$A$35,0)))),3))</f>
        <v>0.44700000000000001</v>
      </c>
      <c r="X13" s="15">
        <f>IF('Legend Attributes'!X13=0,0,ROUND(IF(INDEX('Conversion Range'!$E$2:$E$35,MATCH(X$1,'Conversion Range'!$A$2:$A$35,0))=1,INDEX('Conversion Range'!$D$2:$D$35,MATCH(X$1,'Conversion Range'!$A$2:$A$35,0))-(('Legend Attributes'!X13-1)/19)*(INDEX('Conversion Range'!$D$2:$D$35,MATCH(X$1,'Conversion Range'!$A$2:$A$35,0))-INDEX('Conversion Range'!$C$2:$C$35,MATCH(X$1,'Conversion Range'!$A$2:$A$35,0))),INDEX('Conversion Range'!$C$2:$C$35,MATCH(X$1,'Conversion Range'!$A$2:$A$35,0))+(('Legend Attributes'!X13-1)/19)*(INDEX('Conversion Range'!$D$2:$D$35,MATCH(X$1,'Conversion Range'!$A$2:$A$35,0))-INDEX('Conversion Range'!$C$2:$C$35,MATCH(X$1,'Conversion Range'!$A$2:$A$35,0)))),3))</f>
        <v>0.98399999999999999</v>
      </c>
      <c r="Y13" s="15">
        <f>IF('Legend Attributes'!Y13=0,0,ROUND(IF(INDEX('Conversion Range'!$E$2:$E$35,MATCH(Y$1,'Conversion Range'!$A$2:$A$35,0))=1,INDEX('Conversion Range'!$D$2:$D$35,MATCH(Y$1,'Conversion Range'!$A$2:$A$35,0))-(('Legend Attributes'!Y13-1)/19)*(INDEX('Conversion Range'!$D$2:$D$35,MATCH(Y$1,'Conversion Range'!$A$2:$A$35,0))-INDEX('Conversion Range'!$C$2:$C$35,MATCH(Y$1,'Conversion Range'!$A$2:$A$35,0))),INDEX('Conversion Range'!$C$2:$C$35,MATCH(Y$1,'Conversion Range'!$A$2:$A$35,0))+(('Legend Attributes'!Y13-1)/19)*(INDEX('Conversion Range'!$D$2:$D$35,MATCH(Y$1,'Conversion Range'!$A$2:$A$35,0))-INDEX('Conversion Range'!$C$2:$C$35,MATCH(Y$1,'Conversion Range'!$A$2:$A$35,0)))),3))</f>
        <v>0.379</v>
      </c>
      <c r="Z13" s="15">
        <f>IF('Legend Attributes'!Z13=0,0,ROUND(IF(INDEX('Conversion Range'!$E$2:$E$35,MATCH(Z$1,'Conversion Range'!$A$2:$A$35,0))=1,INDEX('Conversion Range'!$D$2:$D$35,MATCH(Z$1,'Conversion Range'!$A$2:$A$35,0))-(('Legend Attributes'!Z13-1)/19)*(INDEX('Conversion Range'!$D$2:$D$35,MATCH(Z$1,'Conversion Range'!$A$2:$A$35,0))-INDEX('Conversion Range'!$C$2:$C$35,MATCH(Z$1,'Conversion Range'!$A$2:$A$35,0))),INDEX('Conversion Range'!$C$2:$C$35,MATCH(Z$1,'Conversion Range'!$A$2:$A$35,0))+(('Legend Attributes'!Z13-1)/19)*(INDEX('Conversion Range'!$D$2:$D$35,MATCH(Z$1,'Conversion Range'!$A$2:$A$35,0))-INDEX('Conversion Range'!$C$2:$C$35,MATCH(Z$1,'Conversion Range'!$A$2:$A$35,0)))),3))</f>
        <v>8.7629999999999999</v>
      </c>
      <c r="AA13" s="15">
        <f>IF('Legend Attributes'!AA13=0,0,ROUND(IF(INDEX('Conversion Range'!$E$2:$E$35,MATCH(AA$1,'Conversion Range'!$A$2:$A$35,0))=1,INDEX('Conversion Range'!$D$2:$D$35,MATCH(AA$1,'Conversion Range'!$A$2:$A$35,0))-(('Legend Attributes'!AA13-1)/19)*(INDEX('Conversion Range'!$D$2:$D$35,MATCH(AA$1,'Conversion Range'!$A$2:$A$35,0))-INDEX('Conversion Range'!$C$2:$C$35,MATCH(AA$1,'Conversion Range'!$A$2:$A$35,0))),INDEX('Conversion Range'!$C$2:$C$35,MATCH(AA$1,'Conversion Range'!$A$2:$A$35,0))+(('Legend Attributes'!AA13-1)/19)*(INDEX('Conversion Range'!$D$2:$D$35,MATCH(AA$1,'Conversion Range'!$A$2:$A$35,0))-INDEX('Conversion Range'!$C$2:$C$35,MATCH(AA$1,'Conversion Range'!$A$2:$A$35,0)))),3))</f>
        <v>9.1999999999999998E-2</v>
      </c>
      <c r="AB13" s="15">
        <f>IF('Legend Attributes'!AB13=0,0,ROUND(IF(INDEX('Conversion Range'!$E$2:$E$35,MATCH(AB$1,'Conversion Range'!$A$2:$A$35,0))=1,INDEX('Conversion Range'!$D$2:$D$35,MATCH(AB$1,'Conversion Range'!$A$2:$A$35,0))-(('Legend Attributes'!AB13-1)/19)*(INDEX('Conversion Range'!$D$2:$D$35,MATCH(AB$1,'Conversion Range'!$A$2:$A$35,0))-INDEX('Conversion Range'!$C$2:$C$35,MATCH(AB$1,'Conversion Range'!$A$2:$A$35,0))),INDEX('Conversion Range'!$C$2:$C$35,MATCH(AB$1,'Conversion Range'!$A$2:$A$35,0))+(('Legend Attributes'!AB13-1)/19)*(INDEX('Conversion Range'!$D$2:$D$35,MATCH(AB$1,'Conversion Range'!$A$2:$A$35,0))-INDEX('Conversion Range'!$C$2:$C$35,MATCH(AB$1,'Conversion Range'!$A$2:$A$35,0)))),3))</f>
        <v>0.80800000000000005</v>
      </c>
      <c r="AC13" s="15">
        <f>IF('Legend Attributes'!AC13=0,0,ROUND(IF(INDEX('Conversion Range'!$E$2:$E$35,MATCH(AC$1,'Conversion Range'!$A$2:$A$35,0))=1,INDEX('Conversion Range'!$D$2:$D$35,MATCH(AC$1,'Conversion Range'!$A$2:$A$35,0))-(('Legend Attributes'!AC13-1)/19)*(INDEX('Conversion Range'!$D$2:$D$35,MATCH(AC$1,'Conversion Range'!$A$2:$A$35,0))-INDEX('Conversion Range'!$C$2:$C$35,MATCH(AC$1,'Conversion Range'!$A$2:$A$35,0))),INDEX('Conversion Range'!$C$2:$C$35,MATCH(AC$1,'Conversion Range'!$A$2:$A$35,0))+(('Legend Attributes'!AC13-1)/19)*(INDEX('Conversion Range'!$D$2:$D$35,MATCH(AC$1,'Conversion Range'!$A$2:$A$35,0))-INDEX('Conversion Range'!$C$2:$C$35,MATCH(AC$1,'Conversion Range'!$A$2:$A$35,0)))),3))</f>
        <v>0.441</v>
      </c>
      <c r="AD13" s="15">
        <f>IF('Legend Attributes'!AD13=0,0,ROUND(IF(INDEX('Conversion Range'!$E$2:$E$35,MATCH(AD$1,'Conversion Range'!$A$2:$A$35,0))=1,INDEX('Conversion Range'!$D$2:$D$35,MATCH(AD$1,'Conversion Range'!$A$2:$A$35,0))-(('Legend Attributes'!AD13-1)/19)*(INDEX('Conversion Range'!$D$2:$D$35,MATCH(AD$1,'Conversion Range'!$A$2:$A$35,0))-INDEX('Conversion Range'!$C$2:$C$35,MATCH(AD$1,'Conversion Range'!$A$2:$A$35,0))),INDEX('Conversion Range'!$C$2:$C$35,MATCH(AD$1,'Conversion Range'!$A$2:$A$35,0))+(('Legend Attributes'!AD13-1)/19)*(INDEX('Conversion Range'!$D$2:$D$35,MATCH(AD$1,'Conversion Range'!$A$2:$A$35,0))-INDEX('Conversion Range'!$C$2:$C$35,MATCH(AD$1,'Conversion Range'!$A$2:$A$35,0)))),3))</f>
        <v>0</v>
      </c>
      <c r="AE13" s="15">
        <f>IF('Legend Attributes'!AE13=0,0,ROUND(IF(INDEX('Conversion Range'!$E$2:$E$35,MATCH(AE$1,'Conversion Range'!$A$2:$A$35,0))=1,INDEX('Conversion Range'!$D$2:$D$35,MATCH(AE$1,'Conversion Range'!$A$2:$A$35,0))-(('Legend Attributes'!AE13-1)/19)*(INDEX('Conversion Range'!$D$2:$D$35,MATCH(AE$1,'Conversion Range'!$A$2:$A$35,0))-INDEX('Conversion Range'!$C$2:$C$35,MATCH(AE$1,'Conversion Range'!$A$2:$A$35,0))),INDEX('Conversion Range'!$C$2:$C$35,MATCH(AE$1,'Conversion Range'!$A$2:$A$35,0))+(('Legend Attributes'!AE13-1)/19)*(INDEX('Conversion Range'!$D$2:$D$35,MATCH(AE$1,'Conversion Range'!$A$2:$A$35,0))-INDEX('Conversion Range'!$C$2:$C$35,MATCH(AE$1,'Conversion Range'!$A$2:$A$35,0)))),3))</f>
        <v>0</v>
      </c>
      <c r="AF13" s="15">
        <f>IF('Legend Attributes'!AF13=0,0,ROUND(IF(INDEX('Conversion Range'!$E$2:$E$35,MATCH(AF$1,'Conversion Range'!$A$2:$A$35,0))=1,INDEX('Conversion Range'!$D$2:$D$35,MATCH(AF$1,'Conversion Range'!$A$2:$A$35,0))-(('Legend Attributes'!AF13-1)/19)*(INDEX('Conversion Range'!$D$2:$D$35,MATCH(AF$1,'Conversion Range'!$A$2:$A$35,0))-INDEX('Conversion Range'!$C$2:$C$35,MATCH(AF$1,'Conversion Range'!$A$2:$A$35,0))),INDEX('Conversion Range'!$C$2:$C$35,MATCH(AF$1,'Conversion Range'!$A$2:$A$35,0))+(('Legend Attributes'!AF13-1)/19)*(INDEX('Conversion Range'!$D$2:$D$35,MATCH(AF$1,'Conversion Range'!$A$2:$A$35,0))-INDEX('Conversion Range'!$C$2:$C$35,MATCH(AF$1,'Conversion Range'!$A$2:$A$35,0)))),3))</f>
        <v>0</v>
      </c>
      <c r="AG13" s="15">
        <f>IF('Legend Attributes'!AG13=0,0,ROUND(IF(INDEX('Conversion Range'!$E$2:$E$35,MATCH(AG$1,'Conversion Range'!$A$2:$A$35,0))=1,INDEX('Conversion Range'!$D$2:$D$35,MATCH(AG$1,'Conversion Range'!$A$2:$A$35,0))-(('Legend Attributes'!AG13-1)/19)*(INDEX('Conversion Range'!$D$2:$D$35,MATCH(AG$1,'Conversion Range'!$A$2:$A$35,0))-INDEX('Conversion Range'!$C$2:$C$35,MATCH(AG$1,'Conversion Range'!$A$2:$A$35,0))),INDEX('Conversion Range'!$C$2:$C$35,MATCH(AG$1,'Conversion Range'!$A$2:$A$35,0))+(('Legend Attributes'!AG13-1)/19)*(INDEX('Conversion Range'!$D$2:$D$35,MATCH(AG$1,'Conversion Range'!$A$2:$A$35,0))-INDEX('Conversion Range'!$C$2:$C$35,MATCH(AG$1,'Conversion Range'!$A$2:$A$35,0)))),3))</f>
        <v>1.2110000000000001</v>
      </c>
      <c r="AH13" s="15">
        <f>IF('Legend Attributes'!AH13=0,0,ROUND(IF(INDEX('Conversion Range'!$E$2:$E$35,MATCH(AH$1,'Conversion Range'!$A$2:$A$35,0))=1,INDEX('Conversion Range'!$D$2:$D$35,MATCH(AH$1,'Conversion Range'!$A$2:$A$35,0))-(('Legend Attributes'!AH13-1)/19)*(INDEX('Conversion Range'!$D$2:$D$35,MATCH(AH$1,'Conversion Range'!$A$2:$A$35,0))-INDEX('Conversion Range'!$C$2:$C$35,MATCH(AH$1,'Conversion Range'!$A$2:$A$35,0))),INDEX('Conversion Range'!$C$2:$C$35,MATCH(AH$1,'Conversion Range'!$A$2:$A$35,0))+(('Legend Attributes'!AH13-1)/19)*(INDEX('Conversion Range'!$D$2:$D$35,MATCH(AH$1,'Conversion Range'!$A$2:$A$35,0))-INDEX('Conversion Range'!$C$2:$C$35,MATCH(AH$1,'Conversion Range'!$A$2:$A$35,0)))),3))</f>
        <v>0.17799999999999999</v>
      </c>
      <c r="AI13" s="15">
        <f>IF('Legend Attributes'!AI13=0,0,ROUND(IF(INDEX('Conversion Range'!$E$2:$E$35,MATCH(AI$1,'Conversion Range'!$A$2:$A$35,0))=1,INDEX('Conversion Range'!$D$2:$D$35,MATCH(AI$1,'Conversion Range'!$A$2:$A$35,0))-(('Legend Attributes'!AI13-1)/19)*(INDEX('Conversion Range'!$D$2:$D$35,MATCH(AI$1,'Conversion Range'!$A$2:$A$35,0))-INDEX('Conversion Range'!$C$2:$C$35,MATCH(AI$1,'Conversion Range'!$A$2:$A$35,0))),INDEX('Conversion Range'!$C$2:$C$35,MATCH(AI$1,'Conversion Range'!$A$2:$A$35,0))+(('Legend Attributes'!AI13-1)/19)*(INDEX('Conversion Range'!$D$2:$D$35,MATCH(AI$1,'Conversion Range'!$A$2:$A$35,0))-INDEX('Conversion Range'!$C$2:$C$35,MATCH(AI$1,'Conversion Range'!$A$2:$A$35,0)))),3))</f>
        <v>3.2000000000000001E-2</v>
      </c>
      <c r="AJ13" s="15">
        <f>IF('Legend Attributes'!AJ13=0,0,ROUND(IF(INDEX('Conversion Range'!$E$2:$E$35,MATCH(AJ$1,'Conversion Range'!$A$2:$A$35,0))=1,INDEX('Conversion Range'!$D$2:$D$35,MATCH(AJ$1,'Conversion Range'!$A$2:$A$35,0))-(('Legend Attributes'!AJ13-1)/19)*(INDEX('Conversion Range'!$D$2:$D$35,MATCH(AJ$1,'Conversion Range'!$A$2:$A$35,0))-INDEX('Conversion Range'!$C$2:$C$35,MATCH(AJ$1,'Conversion Range'!$A$2:$A$35,0))),INDEX('Conversion Range'!$C$2:$C$35,MATCH(AJ$1,'Conversion Range'!$A$2:$A$35,0))+(('Legend Attributes'!AJ13-1)/19)*(INDEX('Conversion Range'!$D$2:$D$35,MATCH(AJ$1,'Conversion Range'!$A$2:$A$35,0))-INDEX('Conversion Range'!$C$2:$C$35,MATCH(AJ$1,'Conversion Range'!$A$2:$A$35,0)))),3))</f>
        <v>7.8209999999999997</v>
      </c>
    </row>
    <row r="14" spans="1:36" x14ac:dyDescent="0.35">
      <c r="A14" s="14" t="str">
        <f>'Legend Attributes'!A14</f>
        <v>Mesut Özil</v>
      </c>
      <c r="B14" s="15" t="str">
        <f>'Legend Attributes'!B14</f>
        <v>AM</v>
      </c>
      <c r="C14" s="15">
        <f>IF('Legend Attributes'!C14=0,0,ROUND(IF(INDEX('Conversion Range'!$E$2:$E$35,MATCH(C$1,'Conversion Range'!$A$2:$A$35,0))=1,INDEX('Conversion Range'!$D$2:$D$35,MATCH(C$1,'Conversion Range'!$A$2:$A$35,0))-(('Legend Attributes'!C14-1)/19)*(INDEX('Conversion Range'!$D$2:$D$35,MATCH(C$1,'Conversion Range'!$A$2:$A$35,0))-INDEX('Conversion Range'!$C$2:$C$35,MATCH(C$1,'Conversion Range'!$A$2:$A$35,0))),INDEX('Conversion Range'!$C$2:$C$35,MATCH(C$1,'Conversion Range'!$A$2:$A$35,0))+(('Legend Attributes'!C14-1)/19)*(INDEX('Conversion Range'!$D$2:$D$35,MATCH(C$1,'Conversion Range'!$A$2:$A$35,0))-INDEX('Conversion Range'!$C$2:$C$35,MATCH(C$1,'Conversion Range'!$A$2:$A$35,0)))),3))</f>
        <v>0.32600000000000001</v>
      </c>
      <c r="D14" s="15">
        <f>IF('Legend Attributes'!D14=0,0,ROUND(IF(INDEX('Conversion Range'!$E$2:$E$35,MATCH(D$1,'Conversion Range'!$A$2:$A$35,0))=1,INDEX('Conversion Range'!$D$2:$D$35,MATCH(D$1,'Conversion Range'!$A$2:$A$35,0))-(('Legend Attributes'!D14-1)/19)*(INDEX('Conversion Range'!$D$2:$D$35,MATCH(D$1,'Conversion Range'!$A$2:$A$35,0))-INDEX('Conversion Range'!$C$2:$C$35,MATCH(D$1,'Conversion Range'!$A$2:$A$35,0))),INDEX('Conversion Range'!$C$2:$C$35,MATCH(D$1,'Conversion Range'!$A$2:$A$35,0))+(('Legend Attributes'!D14-1)/19)*(INDEX('Conversion Range'!$D$2:$D$35,MATCH(D$1,'Conversion Range'!$A$2:$A$35,0))-INDEX('Conversion Range'!$C$2:$C$35,MATCH(D$1,'Conversion Range'!$A$2:$A$35,0)))),3))</f>
        <v>0.28899999999999998</v>
      </c>
      <c r="E14" s="15">
        <f>IF('Legend Attributes'!E14=0,0,ROUND(IF(INDEX('Conversion Range'!$E$2:$E$35,MATCH(E$1,'Conversion Range'!$A$2:$A$35,0))=1,INDEX('Conversion Range'!$D$2:$D$35,MATCH(E$1,'Conversion Range'!$A$2:$A$35,0))-(('Legend Attributes'!E14-1)/19)*(INDEX('Conversion Range'!$D$2:$D$35,MATCH(E$1,'Conversion Range'!$A$2:$A$35,0))-INDEX('Conversion Range'!$C$2:$C$35,MATCH(E$1,'Conversion Range'!$A$2:$A$35,0))),INDEX('Conversion Range'!$C$2:$C$35,MATCH(E$1,'Conversion Range'!$A$2:$A$35,0))+(('Legend Attributes'!E14-1)/19)*(INDEX('Conversion Range'!$D$2:$D$35,MATCH(E$1,'Conversion Range'!$A$2:$A$35,0))-INDEX('Conversion Range'!$C$2:$C$35,MATCH(E$1,'Conversion Range'!$A$2:$A$35,0)))),3))</f>
        <v>0.52200000000000002</v>
      </c>
      <c r="F14" s="15">
        <f>IF('Legend Attributes'!F14=0,0,ROUND(IF(INDEX('Conversion Range'!$E$2:$E$35,MATCH(F$1,'Conversion Range'!$A$2:$A$35,0))=1,INDEX('Conversion Range'!$D$2:$D$35,MATCH(F$1,'Conversion Range'!$A$2:$A$35,0))-(('Legend Attributes'!F14-1)/19)*(INDEX('Conversion Range'!$D$2:$D$35,MATCH(F$1,'Conversion Range'!$A$2:$A$35,0))-INDEX('Conversion Range'!$C$2:$C$35,MATCH(F$1,'Conversion Range'!$A$2:$A$35,0))),INDEX('Conversion Range'!$C$2:$C$35,MATCH(F$1,'Conversion Range'!$A$2:$A$35,0))+(('Legend Attributes'!F14-1)/19)*(INDEX('Conversion Range'!$D$2:$D$35,MATCH(F$1,'Conversion Range'!$A$2:$A$35,0))-INDEX('Conversion Range'!$C$2:$C$35,MATCH(F$1,'Conversion Range'!$A$2:$A$35,0)))),3))</f>
        <v>1.163</v>
      </c>
      <c r="G14" s="15">
        <f>IF('Legend Attributes'!G14=0,0,ROUND(IF(INDEX('Conversion Range'!$E$2:$E$35,MATCH(G$1,'Conversion Range'!$A$2:$A$35,0))=1,INDEX('Conversion Range'!$D$2:$D$35,MATCH(G$1,'Conversion Range'!$A$2:$A$35,0))-(('Legend Attributes'!G14-1)/19)*(INDEX('Conversion Range'!$D$2:$D$35,MATCH(G$1,'Conversion Range'!$A$2:$A$35,0))-INDEX('Conversion Range'!$C$2:$C$35,MATCH(G$1,'Conversion Range'!$A$2:$A$35,0))),INDEX('Conversion Range'!$C$2:$C$35,MATCH(G$1,'Conversion Range'!$A$2:$A$35,0))+(('Legend Attributes'!G14-1)/19)*(INDEX('Conversion Range'!$D$2:$D$35,MATCH(G$1,'Conversion Range'!$A$2:$A$35,0))-INDEX('Conversion Range'!$C$2:$C$35,MATCH(G$1,'Conversion Range'!$A$2:$A$35,0)))),3))</f>
        <v>0.54700000000000004</v>
      </c>
      <c r="H14" s="15">
        <f>IF('Legend Attributes'!H14=0,0,ROUND(IF(INDEX('Conversion Range'!$E$2:$E$35,MATCH(H$1,'Conversion Range'!$A$2:$A$35,0))=1,INDEX('Conversion Range'!$D$2:$D$35,MATCH(H$1,'Conversion Range'!$A$2:$A$35,0))-(('Legend Attributes'!H14-1)/19)*(INDEX('Conversion Range'!$D$2:$D$35,MATCH(H$1,'Conversion Range'!$A$2:$A$35,0))-INDEX('Conversion Range'!$C$2:$C$35,MATCH(H$1,'Conversion Range'!$A$2:$A$35,0))),INDEX('Conversion Range'!$C$2:$C$35,MATCH(H$1,'Conversion Range'!$A$2:$A$35,0))+(('Legend Attributes'!H14-1)/19)*(INDEX('Conversion Range'!$D$2:$D$35,MATCH(H$1,'Conversion Range'!$A$2:$A$35,0))-INDEX('Conversion Range'!$C$2:$C$35,MATCH(H$1,'Conversion Range'!$A$2:$A$35,0)))),3))</f>
        <v>0.316</v>
      </c>
      <c r="I14" s="15">
        <f>IF('Legend Attributes'!I14=0,0,ROUND(IF(INDEX('Conversion Range'!$E$2:$E$35,MATCH(I$1,'Conversion Range'!$A$2:$A$35,0))=1,INDEX('Conversion Range'!$D$2:$D$35,MATCH(I$1,'Conversion Range'!$A$2:$A$35,0))-(('Legend Attributes'!I14-1)/19)*(INDEX('Conversion Range'!$D$2:$D$35,MATCH(I$1,'Conversion Range'!$A$2:$A$35,0))-INDEX('Conversion Range'!$C$2:$C$35,MATCH(I$1,'Conversion Range'!$A$2:$A$35,0))),INDEX('Conversion Range'!$C$2:$C$35,MATCH(I$1,'Conversion Range'!$A$2:$A$35,0))+(('Legend Attributes'!I14-1)/19)*(INDEX('Conversion Range'!$D$2:$D$35,MATCH(I$1,'Conversion Range'!$A$2:$A$35,0))-INDEX('Conversion Range'!$C$2:$C$35,MATCH(I$1,'Conversion Range'!$A$2:$A$35,0)))),3))</f>
        <v>2.468</v>
      </c>
      <c r="J14" s="15">
        <f>IF('Legend Attributes'!J14=0,0,ROUND(IF(INDEX('Conversion Range'!$E$2:$E$35,MATCH(J$1,'Conversion Range'!$A$2:$A$35,0))=1,INDEX('Conversion Range'!$D$2:$D$35,MATCH(J$1,'Conversion Range'!$A$2:$A$35,0))-(('Legend Attributes'!J14-1)/19)*(INDEX('Conversion Range'!$D$2:$D$35,MATCH(J$1,'Conversion Range'!$A$2:$A$35,0))-INDEX('Conversion Range'!$C$2:$C$35,MATCH(J$1,'Conversion Range'!$A$2:$A$35,0))),INDEX('Conversion Range'!$C$2:$C$35,MATCH(J$1,'Conversion Range'!$A$2:$A$35,0))+(('Legend Attributes'!J14-1)/19)*(INDEX('Conversion Range'!$D$2:$D$35,MATCH(J$1,'Conversion Range'!$A$2:$A$35,0))-INDEX('Conversion Range'!$C$2:$C$35,MATCH(J$1,'Conversion Range'!$A$2:$A$35,0)))),3))</f>
        <v>0.68899999999999995</v>
      </c>
      <c r="K14" s="15">
        <f>IF('Legend Attributes'!K14=0,0,ROUND(IF(INDEX('Conversion Range'!$E$2:$E$35,MATCH(K$1,'Conversion Range'!$A$2:$A$35,0))=1,INDEX('Conversion Range'!$D$2:$D$35,MATCH(K$1,'Conversion Range'!$A$2:$A$35,0))-(('Legend Attributes'!K14-1)/19)*(INDEX('Conversion Range'!$D$2:$D$35,MATCH(K$1,'Conversion Range'!$A$2:$A$35,0))-INDEX('Conversion Range'!$C$2:$C$35,MATCH(K$1,'Conversion Range'!$A$2:$A$35,0))),INDEX('Conversion Range'!$C$2:$C$35,MATCH(K$1,'Conversion Range'!$A$2:$A$35,0))+(('Legend Attributes'!K14-1)/19)*(INDEX('Conversion Range'!$D$2:$D$35,MATCH(K$1,'Conversion Range'!$A$2:$A$35,0))-INDEX('Conversion Range'!$C$2:$C$35,MATCH(K$1,'Conversion Range'!$A$2:$A$35,0)))),3))</f>
        <v>0.56299999999999994</v>
      </c>
      <c r="L14" s="15">
        <f>IF('Legend Attributes'!L14=0,0,ROUND(IF(INDEX('Conversion Range'!$E$2:$E$35,MATCH(L$1,'Conversion Range'!$A$2:$A$35,0))=1,INDEX('Conversion Range'!$D$2:$D$35,MATCH(L$1,'Conversion Range'!$A$2:$A$35,0))-(('Legend Attributes'!L14-1)/19)*(INDEX('Conversion Range'!$D$2:$D$35,MATCH(L$1,'Conversion Range'!$A$2:$A$35,0))-INDEX('Conversion Range'!$C$2:$C$35,MATCH(L$1,'Conversion Range'!$A$2:$A$35,0))),INDEX('Conversion Range'!$C$2:$C$35,MATCH(L$1,'Conversion Range'!$A$2:$A$35,0))+(('Legend Attributes'!L14-1)/19)*(INDEX('Conversion Range'!$D$2:$D$35,MATCH(L$1,'Conversion Range'!$A$2:$A$35,0))-INDEX('Conversion Range'!$C$2:$C$35,MATCH(L$1,'Conversion Range'!$A$2:$A$35,0)))),3))</f>
        <v>0</v>
      </c>
      <c r="M14" s="15">
        <f>IF('Legend Attributes'!M14=0,0,ROUND(IF(INDEX('Conversion Range'!$E$2:$E$35,MATCH(M$1,'Conversion Range'!$A$2:$A$35,0))=1,INDEX('Conversion Range'!$D$2:$D$35,MATCH(M$1,'Conversion Range'!$A$2:$A$35,0))-(('Legend Attributes'!M14-1)/19)*(INDEX('Conversion Range'!$D$2:$D$35,MATCH(M$1,'Conversion Range'!$A$2:$A$35,0))-INDEX('Conversion Range'!$C$2:$C$35,MATCH(M$1,'Conversion Range'!$A$2:$A$35,0))),INDEX('Conversion Range'!$C$2:$C$35,MATCH(M$1,'Conversion Range'!$A$2:$A$35,0))+(('Legend Attributes'!M14-1)/19)*(INDEX('Conversion Range'!$D$2:$D$35,MATCH(M$1,'Conversion Range'!$A$2:$A$35,0))-INDEX('Conversion Range'!$C$2:$C$35,MATCH(M$1,'Conversion Range'!$A$2:$A$35,0)))),3))</f>
        <v>8.4000000000000005E-2</v>
      </c>
      <c r="N14" s="15">
        <f>IF('Legend Attributes'!N14=0,0,ROUND(IF(INDEX('Conversion Range'!$E$2:$E$35,MATCH(N$1,'Conversion Range'!$A$2:$A$35,0))=1,INDEX('Conversion Range'!$D$2:$D$35,MATCH(N$1,'Conversion Range'!$A$2:$A$35,0))-(('Legend Attributes'!N14-1)/19)*(INDEX('Conversion Range'!$D$2:$D$35,MATCH(N$1,'Conversion Range'!$A$2:$A$35,0))-INDEX('Conversion Range'!$C$2:$C$35,MATCH(N$1,'Conversion Range'!$A$2:$A$35,0))),INDEX('Conversion Range'!$C$2:$C$35,MATCH(N$1,'Conversion Range'!$A$2:$A$35,0))+(('Legend Attributes'!N14-1)/19)*(INDEX('Conversion Range'!$D$2:$D$35,MATCH(N$1,'Conversion Range'!$A$2:$A$35,0))-INDEX('Conversion Range'!$C$2:$C$35,MATCH(N$1,'Conversion Range'!$A$2:$A$35,0)))),3))</f>
        <v>3.9740000000000002</v>
      </c>
      <c r="O14" s="15">
        <f>IF('Legend Attributes'!O14=0,0,ROUND(IF(INDEX('Conversion Range'!$E$2:$E$35,MATCH(O$1,'Conversion Range'!$A$2:$A$35,0))=1,INDEX('Conversion Range'!$D$2:$D$35,MATCH(O$1,'Conversion Range'!$A$2:$A$35,0))-(('Legend Attributes'!O14-1)/19)*(INDEX('Conversion Range'!$D$2:$D$35,MATCH(O$1,'Conversion Range'!$A$2:$A$35,0))-INDEX('Conversion Range'!$C$2:$C$35,MATCH(O$1,'Conversion Range'!$A$2:$A$35,0))),INDEX('Conversion Range'!$C$2:$C$35,MATCH(O$1,'Conversion Range'!$A$2:$A$35,0))+(('Legend Attributes'!O14-1)/19)*(INDEX('Conversion Range'!$D$2:$D$35,MATCH(O$1,'Conversion Range'!$A$2:$A$35,0))-INDEX('Conversion Range'!$C$2:$C$35,MATCH(O$1,'Conversion Range'!$A$2:$A$35,0)))),3))</f>
        <v>1.895</v>
      </c>
      <c r="P14" s="15">
        <f>IF('Legend Attributes'!P14=0,0,ROUND(IF(INDEX('Conversion Range'!$E$2:$E$35,MATCH(P$1,'Conversion Range'!$A$2:$A$35,0))=1,INDEX('Conversion Range'!$D$2:$D$35,MATCH(P$1,'Conversion Range'!$A$2:$A$35,0))-(('Legend Attributes'!P14-1)/19)*(INDEX('Conversion Range'!$D$2:$D$35,MATCH(P$1,'Conversion Range'!$A$2:$A$35,0))-INDEX('Conversion Range'!$C$2:$C$35,MATCH(P$1,'Conversion Range'!$A$2:$A$35,0))),INDEX('Conversion Range'!$C$2:$C$35,MATCH(P$1,'Conversion Range'!$A$2:$A$35,0))+(('Legend Attributes'!P14-1)/19)*(INDEX('Conversion Range'!$D$2:$D$35,MATCH(P$1,'Conversion Range'!$A$2:$A$35,0))-INDEX('Conversion Range'!$C$2:$C$35,MATCH(P$1,'Conversion Range'!$A$2:$A$35,0)))),3))</f>
        <v>67.632000000000005</v>
      </c>
      <c r="Q14" s="15">
        <f>IF('Legend Attributes'!Q14=0,0,ROUND(IF(INDEX('Conversion Range'!$E$2:$E$35,MATCH(Q$1,'Conversion Range'!$A$2:$A$35,0))=1,INDEX('Conversion Range'!$D$2:$D$35,MATCH(Q$1,'Conversion Range'!$A$2:$A$35,0))-(('Legend Attributes'!Q14-1)/19)*(INDEX('Conversion Range'!$D$2:$D$35,MATCH(Q$1,'Conversion Range'!$A$2:$A$35,0))-INDEX('Conversion Range'!$C$2:$C$35,MATCH(Q$1,'Conversion Range'!$A$2:$A$35,0))),INDEX('Conversion Range'!$C$2:$C$35,MATCH(Q$1,'Conversion Range'!$A$2:$A$35,0))+(('Legend Attributes'!Q14-1)/19)*(INDEX('Conversion Range'!$D$2:$D$35,MATCH(Q$1,'Conversion Range'!$A$2:$A$35,0))-INDEX('Conversion Range'!$C$2:$C$35,MATCH(Q$1,'Conversion Range'!$A$2:$A$35,0)))),3))</f>
        <v>45.420999999999999</v>
      </c>
      <c r="R14" s="15">
        <f>IF('Legend Attributes'!R14=0,0,ROUND(IF(INDEX('Conversion Range'!$E$2:$E$35,MATCH(R$1,'Conversion Range'!$A$2:$A$35,0))=1,INDEX('Conversion Range'!$D$2:$D$35,MATCH(R$1,'Conversion Range'!$A$2:$A$35,0))-(('Legend Attributes'!R14-1)/19)*(INDEX('Conversion Range'!$D$2:$D$35,MATCH(R$1,'Conversion Range'!$A$2:$A$35,0))-INDEX('Conversion Range'!$C$2:$C$35,MATCH(R$1,'Conversion Range'!$A$2:$A$35,0))),INDEX('Conversion Range'!$C$2:$C$35,MATCH(R$1,'Conversion Range'!$A$2:$A$35,0))+(('Legend Attributes'!R14-1)/19)*(INDEX('Conversion Range'!$D$2:$D$35,MATCH(R$1,'Conversion Range'!$A$2:$A$35,0))-INDEX('Conversion Range'!$C$2:$C$35,MATCH(R$1,'Conversion Range'!$A$2:$A$35,0)))),3))</f>
        <v>86.578999999999994</v>
      </c>
      <c r="S14" s="15">
        <f>IF('Legend Attributes'!S14=0,0,ROUND(IF(INDEX('Conversion Range'!$E$2:$E$35,MATCH(S$1,'Conversion Range'!$A$2:$A$35,0))=1,INDEX('Conversion Range'!$D$2:$D$35,MATCH(S$1,'Conversion Range'!$A$2:$A$35,0))-(('Legend Attributes'!S14-1)/19)*(INDEX('Conversion Range'!$D$2:$D$35,MATCH(S$1,'Conversion Range'!$A$2:$A$35,0))-INDEX('Conversion Range'!$C$2:$C$35,MATCH(S$1,'Conversion Range'!$A$2:$A$35,0))),INDEX('Conversion Range'!$C$2:$C$35,MATCH(S$1,'Conversion Range'!$A$2:$A$35,0))+(('Legend Attributes'!S14-1)/19)*(INDEX('Conversion Range'!$D$2:$D$35,MATCH(S$1,'Conversion Range'!$A$2:$A$35,0))-INDEX('Conversion Range'!$C$2:$C$35,MATCH(S$1,'Conversion Range'!$A$2:$A$35,0)))),3))</f>
        <v>2.8889999999999998</v>
      </c>
      <c r="T14" s="15">
        <f>IF('Legend Attributes'!T14=0,0,ROUND(IF(INDEX('Conversion Range'!$E$2:$E$35,MATCH(T$1,'Conversion Range'!$A$2:$A$35,0))=1,INDEX('Conversion Range'!$D$2:$D$35,MATCH(T$1,'Conversion Range'!$A$2:$A$35,0))-(('Legend Attributes'!T14-1)/19)*(INDEX('Conversion Range'!$D$2:$D$35,MATCH(T$1,'Conversion Range'!$A$2:$A$35,0))-INDEX('Conversion Range'!$C$2:$C$35,MATCH(T$1,'Conversion Range'!$A$2:$A$35,0))),INDEX('Conversion Range'!$C$2:$C$35,MATCH(T$1,'Conversion Range'!$A$2:$A$35,0))+(('Legend Attributes'!T14-1)/19)*(INDEX('Conversion Range'!$D$2:$D$35,MATCH(T$1,'Conversion Range'!$A$2:$A$35,0))-INDEX('Conversion Range'!$C$2:$C$35,MATCH(T$1,'Conversion Range'!$A$2:$A$35,0)))),3))</f>
        <v>47.631999999999998</v>
      </c>
      <c r="U14" s="15">
        <f>IF('Legend Attributes'!U14=0,0,ROUND(IF(INDEX('Conversion Range'!$E$2:$E$35,MATCH(U$1,'Conversion Range'!$A$2:$A$35,0))=1,INDEX('Conversion Range'!$D$2:$D$35,MATCH(U$1,'Conversion Range'!$A$2:$A$35,0))-(('Legend Attributes'!U14-1)/19)*(INDEX('Conversion Range'!$D$2:$D$35,MATCH(U$1,'Conversion Range'!$A$2:$A$35,0))-INDEX('Conversion Range'!$C$2:$C$35,MATCH(U$1,'Conversion Range'!$A$2:$A$35,0))),INDEX('Conversion Range'!$C$2:$C$35,MATCH(U$1,'Conversion Range'!$A$2:$A$35,0))+(('Legend Attributes'!U14-1)/19)*(INDEX('Conversion Range'!$D$2:$D$35,MATCH(U$1,'Conversion Range'!$A$2:$A$35,0))-INDEX('Conversion Range'!$C$2:$C$35,MATCH(U$1,'Conversion Range'!$A$2:$A$35,0)))),3))</f>
        <v>0.84699999999999998</v>
      </c>
      <c r="V14" s="15">
        <f>IF('Legend Attributes'!V14=0,0,ROUND(IF(INDEX('Conversion Range'!$E$2:$E$35,MATCH(V$1,'Conversion Range'!$A$2:$A$35,0))=1,INDEX('Conversion Range'!$D$2:$D$35,MATCH(V$1,'Conversion Range'!$A$2:$A$35,0))-(('Legend Attributes'!V14-1)/19)*(INDEX('Conversion Range'!$D$2:$D$35,MATCH(V$1,'Conversion Range'!$A$2:$A$35,0))-INDEX('Conversion Range'!$C$2:$C$35,MATCH(V$1,'Conversion Range'!$A$2:$A$35,0))),INDEX('Conversion Range'!$C$2:$C$35,MATCH(V$1,'Conversion Range'!$A$2:$A$35,0))+(('Legend Attributes'!V14-1)/19)*(INDEX('Conversion Range'!$D$2:$D$35,MATCH(V$1,'Conversion Range'!$A$2:$A$35,0))-INDEX('Conversion Range'!$C$2:$C$35,MATCH(V$1,'Conversion Range'!$A$2:$A$35,0)))),3))</f>
        <v>41.841999999999999</v>
      </c>
      <c r="W14" s="15">
        <f>IF('Legend Attributes'!W14=0,0,ROUND(IF(INDEX('Conversion Range'!$E$2:$E$35,MATCH(W$1,'Conversion Range'!$A$2:$A$35,0))=1,INDEX('Conversion Range'!$D$2:$D$35,MATCH(W$1,'Conversion Range'!$A$2:$A$35,0))-(('Legend Attributes'!W14-1)/19)*(INDEX('Conversion Range'!$D$2:$D$35,MATCH(W$1,'Conversion Range'!$A$2:$A$35,0))-INDEX('Conversion Range'!$C$2:$C$35,MATCH(W$1,'Conversion Range'!$A$2:$A$35,0))),INDEX('Conversion Range'!$C$2:$C$35,MATCH(W$1,'Conversion Range'!$A$2:$A$35,0))+(('Legend Attributes'!W14-1)/19)*(INDEX('Conversion Range'!$D$2:$D$35,MATCH(W$1,'Conversion Range'!$A$2:$A$35,0))-INDEX('Conversion Range'!$C$2:$C$35,MATCH(W$1,'Conversion Range'!$A$2:$A$35,0)))),3))</f>
        <v>0.47399999999999998</v>
      </c>
      <c r="X14" s="15">
        <f>IF('Legend Attributes'!X14=0,0,ROUND(IF(INDEX('Conversion Range'!$E$2:$E$35,MATCH(X$1,'Conversion Range'!$A$2:$A$35,0))=1,INDEX('Conversion Range'!$D$2:$D$35,MATCH(X$1,'Conversion Range'!$A$2:$A$35,0))-(('Legend Attributes'!X14-1)/19)*(INDEX('Conversion Range'!$D$2:$D$35,MATCH(X$1,'Conversion Range'!$A$2:$A$35,0))-INDEX('Conversion Range'!$C$2:$C$35,MATCH(X$1,'Conversion Range'!$A$2:$A$35,0))),INDEX('Conversion Range'!$C$2:$C$35,MATCH(X$1,'Conversion Range'!$A$2:$A$35,0))+(('Legend Attributes'!X14-1)/19)*(INDEX('Conversion Range'!$D$2:$D$35,MATCH(X$1,'Conversion Range'!$A$2:$A$35,0))-INDEX('Conversion Range'!$C$2:$C$35,MATCH(X$1,'Conversion Range'!$A$2:$A$35,0)))),3))</f>
        <v>1.042</v>
      </c>
      <c r="Y14" s="15">
        <f>IF('Legend Attributes'!Y14=0,0,ROUND(IF(INDEX('Conversion Range'!$E$2:$E$35,MATCH(Y$1,'Conversion Range'!$A$2:$A$35,0))=1,INDEX('Conversion Range'!$D$2:$D$35,MATCH(Y$1,'Conversion Range'!$A$2:$A$35,0))-(('Legend Attributes'!Y14-1)/19)*(INDEX('Conversion Range'!$D$2:$D$35,MATCH(Y$1,'Conversion Range'!$A$2:$A$35,0))-INDEX('Conversion Range'!$C$2:$C$35,MATCH(Y$1,'Conversion Range'!$A$2:$A$35,0))),INDEX('Conversion Range'!$C$2:$C$35,MATCH(Y$1,'Conversion Range'!$A$2:$A$35,0))+(('Legend Attributes'!Y14-1)/19)*(INDEX('Conversion Range'!$D$2:$D$35,MATCH(Y$1,'Conversion Range'!$A$2:$A$35,0))-INDEX('Conversion Range'!$C$2:$C$35,MATCH(Y$1,'Conversion Range'!$A$2:$A$35,0)))),3))</f>
        <v>0.33200000000000002</v>
      </c>
      <c r="Z14" s="15">
        <f>IF('Legend Attributes'!Z14=0,0,ROUND(IF(INDEX('Conversion Range'!$E$2:$E$35,MATCH(Z$1,'Conversion Range'!$A$2:$A$35,0))=1,INDEX('Conversion Range'!$D$2:$D$35,MATCH(Z$1,'Conversion Range'!$A$2:$A$35,0))-(('Legend Attributes'!Z14-1)/19)*(INDEX('Conversion Range'!$D$2:$D$35,MATCH(Z$1,'Conversion Range'!$A$2:$A$35,0))-INDEX('Conversion Range'!$C$2:$C$35,MATCH(Z$1,'Conversion Range'!$A$2:$A$35,0))),INDEX('Conversion Range'!$C$2:$C$35,MATCH(Z$1,'Conversion Range'!$A$2:$A$35,0))+(('Legend Attributes'!Z14-1)/19)*(INDEX('Conversion Range'!$D$2:$D$35,MATCH(Z$1,'Conversion Range'!$A$2:$A$35,0))-INDEX('Conversion Range'!$C$2:$C$35,MATCH(Z$1,'Conversion Range'!$A$2:$A$35,0)))),3))</f>
        <v>8.7629999999999999</v>
      </c>
      <c r="AA14" s="15">
        <f>IF('Legend Attributes'!AA14=0,0,ROUND(IF(INDEX('Conversion Range'!$E$2:$E$35,MATCH(AA$1,'Conversion Range'!$A$2:$A$35,0))=1,INDEX('Conversion Range'!$D$2:$D$35,MATCH(AA$1,'Conversion Range'!$A$2:$A$35,0))-(('Legend Attributes'!AA14-1)/19)*(INDEX('Conversion Range'!$D$2:$D$35,MATCH(AA$1,'Conversion Range'!$A$2:$A$35,0))-INDEX('Conversion Range'!$C$2:$C$35,MATCH(AA$1,'Conversion Range'!$A$2:$A$35,0))),INDEX('Conversion Range'!$C$2:$C$35,MATCH(AA$1,'Conversion Range'!$A$2:$A$35,0))+(('Legend Attributes'!AA14-1)/19)*(INDEX('Conversion Range'!$D$2:$D$35,MATCH(AA$1,'Conversion Range'!$A$2:$A$35,0))-INDEX('Conversion Range'!$C$2:$C$35,MATCH(AA$1,'Conversion Range'!$A$2:$A$35,0)))),3))</f>
        <v>1.7999999999999999E-2</v>
      </c>
      <c r="AB14" s="15">
        <f>IF('Legend Attributes'!AB14=0,0,ROUND(IF(INDEX('Conversion Range'!$E$2:$E$35,MATCH(AB$1,'Conversion Range'!$A$2:$A$35,0))=1,INDEX('Conversion Range'!$D$2:$D$35,MATCH(AB$1,'Conversion Range'!$A$2:$A$35,0))-(('Legend Attributes'!AB14-1)/19)*(INDEX('Conversion Range'!$D$2:$D$35,MATCH(AB$1,'Conversion Range'!$A$2:$A$35,0))-INDEX('Conversion Range'!$C$2:$C$35,MATCH(AB$1,'Conversion Range'!$A$2:$A$35,0))),INDEX('Conversion Range'!$C$2:$C$35,MATCH(AB$1,'Conversion Range'!$A$2:$A$35,0))+(('Legend Attributes'!AB14-1)/19)*(INDEX('Conversion Range'!$D$2:$D$35,MATCH(AB$1,'Conversion Range'!$A$2:$A$35,0))-INDEX('Conversion Range'!$C$2:$C$35,MATCH(AB$1,'Conversion Range'!$A$2:$A$35,0)))),3))</f>
        <v>0.76100000000000001</v>
      </c>
      <c r="AC14" s="15">
        <f>IF('Legend Attributes'!AC14=0,0,ROUND(IF(INDEX('Conversion Range'!$E$2:$E$35,MATCH(AC$1,'Conversion Range'!$A$2:$A$35,0))=1,INDEX('Conversion Range'!$D$2:$D$35,MATCH(AC$1,'Conversion Range'!$A$2:$A$35,0))-(('Legend Attributes'!AC14-1)/19)*(INDEX('Conversion Range'!$D$2:$D$35,MATCH(AC$1,'Conversion Range'!$A$2:$A$35,0))-INDEX('Conversion Range'!$C$2:$C$35,MATCH(AC$1,'Conversion Range'!$A$2:$A$35,0))),INDEX('Conversion Range'!$C$2:$C$35,MATCH(AC$1,'Conversion Range'!$A$2:$A$35,0))+(('Legend Attributes'!AC14-1)/19)*(INDEX('Conversion Range'!$D$2:$D$35,MATCH(AC$1,'Conversion Range'!$A$2:$A$35,0))-INDEX('Conversion Range'!$C$2:$C$35,MATCH(AC$1,'Conversion Range'!$A$2:$A$35,0)))),3))</f>
        <v>0.35799999999999998</v>
      </c>
      <c r="AD14" s="15">
        <f>IF('Legend Attributes'!AD14=0,0,ROUND(IF(INDEX('Conversion Range'!$E$2:$E$35,MATCH(AD$1,'Conversion Range'!$A$2:$A$35,0))=1,INDEX('Conversion Range'!$D$2:$D$35,MATCH(AD$1,'Conversion Range'!$A$2:$A$35,0))-(('Legend Attributes'!AD14-1)/19)*(INDEX('Conversion Range'!$D$2:$D$35,MATCH(AD$1,'Conversion Range'!$A$2:$A$35,0))-INDEX('Conversion Range'!$C$2:$C$35,MATCH(AD$1,'Conversion Range'!$A$2:$A$35,0))),INDEX('Conversion Range'!$C$2:$C$35,MATCH(AD$1,'Conversion Range'!$A$2:$A$35,0))+(('Legend Attributes'!AD14-1)/19)*(INDEX('Conversion Range'!$D$2:$D$35,MATCH(AD$1,'Conversion Range'!$A$2:$A$35,0))-INDEX('Conversion Range'!$C$2:$C$35,MATCH(AD$1,'Conversion Range'!$A$2:$A$35,0)))),3))</f>
        <v>0</v>
      </c>
      <c r="AE14" s="15">
        <f>IF('Legend Attributes'!AE14=0,0,ROUND(IF(INDEX('Conversion Range'!$E$2:$E$35,MATCH(AE$1,'Conversion Range'!$A$2:$A$35,0))=1,INDEX('Conversion Range'!$D$2:$D$35,MATCH(AE$1,'Conversion Range'!$A$2:$A$35,0))-(('Legend Attributes'!AE14-1)/19)*(INDEX('Conversion Range'!$D$2:$D$35,MATCH(AE$1,'Conversion Range'!$A$2:$A$35,0))-INDEX('Conversion Range'!$C$2:$C$35,MATCH(AE$1,'Conversion Range'!$A$2:$A$35,0))),INDEX('Conversion Range'!$C$2:$C$35,MATCH(AE$1,'Conversion Range'!$A$2:$A$35,0))+(('Legend Attributes'!AE14-1)/19)*(INDEX('Conversion Range'!$D$2:$D$35,MATCH(AE$1,'Conversion Range'!$A$2:$A$35,0))-INDEX('Conversion Range'!$C$2:$C$35,MATCH(AE$1,'Conversion Range'!$A$2:$A$35,0)))),3))</f>
        <v>0</v>
      </c>
      <c r="AF14" s="15">
        <f>IF('Legend Attributes'!AF14=0,0,ROUND(IF(INDEX('Conversion Range'!$E$2:$E$35,MATCH(AF$1,'Conversion Range'!$A$2:$A$35,0))=1,INDEX('Conversion Range'!$D$2:$D$35,MATCH(AF$1,'Conversion Range'!$A$2:$A$35,0))-(('Legend Attributes'!AF14-1)/19)*(INDEX('Conversion Range'!$D$2:$D$35,MATCH(AF$1,'Conversion Range'!$A$2:$A$35,0))-INDEX('Conversion Range'!$C$2:$C$35,MATCH(AF$1,'Conversion Range'!$A$2:$A$35,0))),INDEX('Conversion Range'!$C$2:$C$35,MATCH(AF$1,'Conversion Range'!$A$2:$A$35,0))+(('Legend Attributes'!AF14-1)/19)*(INDEX('Conversion Range'!$D$2:$D$35,MATCH(AF$1,'Conversion Range'!$A$2:$A$35,0))-INDEX('Conversion Range'!$C$2:$C$35,MATCH(AF$1,'Conversion Range'!$A$2:$A$35,0)))),3))</f>
        <v>0</v>
      </c>
      <c r="AG14" s="15">
        <f>IF('Legend Attributes'!AG14=0,0,ROUND(IF(INDEX('Conversion Range'!$E$2:$E$35,MATCH(AG$1,'Conversion Range'!$A$2:$A$35,0))=1,INDEX('Conversion Range'!$D$2:$D$35,MATCH(AG$1,'Conversion Range'!$A$2:$A$35,0))-(('Legend Attributes'!AG14-1)/19)*(INDEX('Conversion Range'!$D$2:$D$35,MATCH(AG$1,'Conversion Range'!$A$2:$A$35,0))-INDEX('Conversion Range'!$C$2:$C$35,MATCH(AG$1,'Conversion Range'!$A$2:$A$35,0))),INDEX('Conversion Range'!$C$2:$C$35,MATCH(AG$1,'Conversion Range'!$A$2:$A$35,0))+(('Legend Attributes'!AG14-1)/19)*(INDEX('Conversion Range'!$D$2:$D$35,MATCH(AG$1,'Conversion Range'!$A$2:$A$35,0))-INDEX('Conversion Range'!$C$2:$C$35,MATCH(AG$1,'Conversion Range'!$A$2:$A$35,0)))),3))</f>
        <v>1.0529999999999999</v>
      </c>
      <c r="AH14" s="15">
        <f>IF('Legend Attributes'!AH14=0,0,ROUND(IF(INDEX('Conversion Range'!$E$2:$E$35,MATCH(AH$1,'Conversion Range'!$A$2:$A$35,0))=1,INDEX('Conversion Range'!$D$2:$D$35,MATCH(AH$1,'Conversion Range'!$A$2:$A$35,0))-(('Legend Attributes'!AH14-1)/19)*(INDEX('Conversion Range'!$D$2:$D$35,MATCH(AH$1,'Conversion Range'!$A$2:$A$35,0))-INDEX('Conversion Range'!$C$2:$C$35,MATCH(AH$1,'Conversion Range'!$A$2:$A$35,0))),INDEX('Conversion Range'!$C$2:$C$35,MATCH(AH$1,'Conversion Range'!$A$2:$A$35,0))+(('Legend Attributes'!AH14-1)/19)*(INDEX('Conversion Range'!$D$2:$D$35,MATCH(AH$1,'Conversion Range'!$A$2:$A$35,0))-INDEX('Conversion Range'!$C$2:$C$35,MATCH(AH$1,'Conversion Range'!$A$2:$A$35,0)))),3))</f>
        <v>8.7999999999999995E-2</v>
      </c>
      <c r="AI14" s="15">
        <f>IF('Legend Attributes'!AI14=0,0,ROUND(IF(INDEX('Conversion Range'!$E$2:$E$35,MATCH(AI$1,'Conversion Range'!$A$2:$A$35,0))=1,INDEX('Conversion Range'!$D$2:$D$35,MATCH(AI$1,'Conversion Range'!$A$2:$A$35,0))-(('Legend Attributes'!AI14-1)/19)*(INDEX('Conversion Range'!$D$2:$D$35,MATCH(AI$1,'Conversion Range'!$A$2:$A$35,0))-INDEX('Conversion Range'!$C$2:$C$35,MATCH(AI$1,'Conversion Range'!$A$2:$A$35,0))),INDEX('Conversion Range'!$C$2:$C$35,MATCH(AI$1,'Conversion Range'!$A$2:$A$35,0))+(('Legend Attributes'!AI14-1)/19)*(INDEX('Conversion Range'!$D$2:$D$35,MATCH(AI$1,'Conversion Range'!$A$2:$A$35,0))-INDEX('Conversion Range'!$C$2:$C$35,MATCH(AI$1,'Conversion Range'!$A$2:$A$35,0)))),3))</f>
        <v>1.2999999999999999E-2</v>
      </c>
      <c r="AJ14" s="15">
        <f>IF('Legend Attributes'!AJ14=0,0,ROUND(IF(INDEX('Conversion Range'!$E$2:$E$35,MATCH(AJ$1,'Conversion Range'!$A$2:$A$35,0))=1,INDEX('Conversion Range'!$D$2:$D$35,MATCH(AJ$1,'Conversion Range'!$A$2:$A$35,0))-(('Legend Attributes'!AJ14-1)/19)*(INDEX('Conversion Range'!$D$2:$D$35,MATCH(AJ$1,'Conversion Range'!$A$2:$A$35,0))-INDEX('Conversion Range'!$C$2:$C$35,MATCH(AJ$1,'Conversion Range'!$A$2:$A$35,0))),INDEX('Conversion Range'!$C$2:$C$35,MATCH(AJ$1,'Conversion Range'!$A$2:$A$35,0))+(('Legend Attributes'!AJ14-1)/19)*(INDEX('Conversion Range'!$D$2:$D$35,MATCH(AJ$1,'Conversion Range'!$A$2:$A$35,0))-INDEX('Conversion Range'!$C$2:$C$35,MATCH(AJ$1,'Conversion Range'!$A$2:$A$35,0)))),3))</f>
        <v>7.8209999999999997</v>
      </c>
    </row>
    <row r="15" spans="1:36" x14ac:dyDescent="0.35">
      <c r="A15" s="14" t="str">
        <f>'Legend Attributes'!A15</f>
        <v>Philipp Lahm</v>
      </c>
      <c r="B15" s="15" t="str">
        <f>'Legend Attributes'!B15</f>
        <v>FB</v>
      </c>
      <c r="C15" s="15">
        <f>IF('Legend Attributes'!C15=0,0,ROUND(IF(INDEX('Conversion Range'!$E$2:$E$35,MATCH(C$1,'Conversion Range'!$A$2:$A$35,0))=1,INDEX('Conversion Range'!$D$2:$D$35,MATCH(C$1,'Conversion Range'!$A$2:$A$35,0))-(('Legend Attributes'!C15-1)/19)*(INDEX('Conversion Range'!$D$2:$D$35,MATCH(C$1,'Conversion Range'!$A$2:$A$35,0))-INDEX('Conversion Range'!$C$2:$C$35,MATCH(C$1,'Conversion Range'!$A$2:$A$35,0))),INDEX('Conversion Range'!$C$2:$C$35,MATCH(C$1,'Conversion Range'!$A$2:$A$35,0))+(('Legend Attributes'!C15-1)/19)*(INDEX('Conversion Range'!$D$2:$D$35,MATCH(C$1,'Conversion Range'!$A$2:$A$35,0))-INDEX('Conversion Range'!$C$2:$C$35,MATCH(C$1,'Conversion Range'!$A$2:$A$35,0)))),3))</f>
        <v>0.151</v>
      </c>
      <c r="D15" s="15">
        <f>IF('Legend Attributes'!D15=0,0,ROUND(IF(INDEX('Conversion Range'!$E$2:$E$35,MATCH(D$1,'Conversion Range'!$A$2:$A$35,0))=1,INDEX('Conversion Range'!$D$2:$D$35,MATCH(D$1,'Conversion Range'!$A$2:$A$35,0))-(('Legend Attributes'!D15-1)/19)*(INDEX('Conversion Range'!$D$2:$D$35,MATCH(D$1,'Conversion Range'!$A$2:$A$35,0))-INDEX('Conversion Range'!$C$2:$C$35,MATCH(D$1,'Conversion Range'!$A$2:$A$35,0))),INDEX('Conversion Range'!$C$2:$C$35,MATCH(D$1,'Conversion Range'!$A$2:$A$35,0))+(('Legend Attributes'!D15-1)/19)*(INDEX('Conversion Range'!$D$2:$D$35,MATCH(D$1,'Conversion Range'!$A$2:$A$35,0))-INDEX('Conversion Range'!$C$2:$C$35,MATCH(D$1,'Conversion Range'!$A$2:$A$35,0)))),3))</f>
        <v>0.13500000000000001</v>
      </c>
      <c r="E15" s="15">
        <f>IF('Legend Attributes'!E15=0,0,ROUND(IF(INDEX('Conversion Range'!$E$2:$E$35,MATCH(E$1,'Conversion Range'!$A$2:$A$35,0))=1,INDEX('Conversion Range'!$D$2:$D$35,MATCH(E$1,'Conversion Range'!$A$2:$A$35,0))-(('Legend Attributes'!E15-1)/19)*(INDEX('Conversion Range'!$D$2:$D$35,MATCH(E$1,'Conversion Range'!$A$2:$A$35,0))-INDEX('Conversion Range'!$C$2:$C$35,MATCH(E$1,'Conversion Range'!$A$2:$A$35,0))),INDEX('Conversion Range'!$C$2:$C$35,MATCH(E$1,'Conversion Range'!$A$2:$A$35,0))+(('Legend Attributes'!E15-1)/19)*(INDEX('Conversion Range'!$D$2:$D$35,MATCH(E$1,'Conversion Range'!$A$2:$A$35,0))-INDEX('Conversion Range'!$C$2:$C$35,MATCH(E$1,'Conversion Range'!$A$2:$A$35,0)))),3))</f>
        <v>0.29399999999999998</v>
      </c>
      <c r="F15" s="15">
        <f>IF('Legend Attributes'!F15=0,0,ROUND(IF(INDEX('Conversion Range'!$E$2:$E$35,MATCH(F$1,'Conversion Range'!$A$2:$A$35,0))=1,INDEX('Conversion Range'!$D$2:$D$35,MATCH(F$1,'Conversion Range'!$A$2:$A$35,0))-(('Legend Attributes'!F15-1)/19)*(INDEX('Conversion Range'!$D$2:$D$35,MATCH(F$1,'Conversion Range'!$A$2:$A$35,0))-INDEX('Conversion Range'!$C$2:$C$35,MATCH(F$1,'Conversion Range'!$A$2:$A$35,0))),INDEX('Conversion Range'!$C$2:$C$35,MATCH(F$1,'Conversion Range'!$A$2:$A$35,0))+(('Legend Attributes'!F15-1)/19)*(INDEX('Conversion Range'!$D$2:$D$35,MATCH(F$1,'Conversion Range'!$A$2:$A$35,0))-INDEX('Conversion Range'!$C$2:$C$35,MATCH(F$1,'Conversion Range'!$A$2:$A$35,0)))),3))</f>
        <v>0.75800000000000001</v>
      </c>
      <c r="G15" s="15">
        <f>IF('Legend Attributes'!G15=0,0,ROUND(IF(INDEX('Conversion Range'!$E$2:$E$35,MATCH(G$1,'Conversion Range'!$A$2:$A$35,0))=1,INDEX('Conversion Range'!$D$2:$D$35,MATCH(G$1,'Conversion Range'!$A$2:$A$35,0))-(('Legend Attributes'!G15-1)/19)*(INDEX('Conversion Range'!$D$2:$D$35,MATCH(G$1,'Conversion Range'!$A$2:$A$35,0))-INDEX('Conversion Range'!$C$2:$C$35,MATCH(G$1,'Conversion Range'!$A$2:$A$35,0))),INDEX('Conversion Range'!$C$2:$C$35,MATCH(G$1,'Conversion Range'!$A$2:$A$35,0))+(('Legend Attributes'!G15-1)/19)*(INDEX('Conversion Range'!$D$2:$D$35,MATCH(G$1,'Conversion Range'!$A$2:$A$35,0))-INDEX('Conversion Range'!$C$2:$C$35,MATCH(G$1,'Conversion Range'!$A$2:$A$35,0)))),3))</f>
        <v>0.314</v>
      </c>
      <c r="H15" s="15">
        <f>IF('Legend Attributes'!H15=0,0,ROUND(IF(INDEX('Conversion Range'!$E$2:$E$35,MATCH(H$1,'Conversion Range'!$A$2:$A$35,0))=1,INDEX('Conversion Range'!$D$2:$D$35,MATCH(H$1,'Conversion Range'!$A$2:$A$35,0))-(('Legend Attributes'!H15-1)/19)*(INDEX('Conversion Range'!$D$2:$D$35,MATCH(H$1,'Conversion Range'!$A$2:$A$35,0))-INDEX('Conversion Range'!$C$2:$C$35,MATCH(H$1,'Conversion Range'!$A$2:$A$35,0))),INDEX('Conversion Range'!$C$2:$C$35,MATCH(H$1,'Conversion Range'!$A$2:$A$35,0))+(('Legend Attributes'!H15-1)/19)*(INDEX('Conversion Range'!$D$2:$D$35,MATCH(H$1,'Conversion Range'!$A$2:$A$35,0))-INDEX('Conversion Range'!$C$2:$C$35,MATCH(H$1,'Conversion Range'!$A$2:$A$35,0)))),3))</f>
        <v>0.105</v>
      </c>
      <c r="I15" s="15">
        <f>IF('Legend Attributes'!I15=0,0,ROUND(IF(INDEX('Conversion Range'!$E$2:$E$35,MATCH(I$1,'Conversion Range'!$A$2:$A$35,0))=1,INDEX('Conversion Range'!$D$2:$D$35,MATCH(I$1,'Conversion Range'!$A$2:$A$35,0))-(('Legend Attributes'!I15-1)/19)*(INDEX('Conversion Range'!$D$2:$D$35,MATCH(I$1,'Conversion Range'!$A$2:$A$35,0))-INDEX('Conversion Range'!$C$2:$C$35,MATCH(I$1,'Conversion Range'!$A$2:$A$35,0))),INDEX('Conversion Range'!$C$2:$C$35,MATCH(I$1,'Conversion Range'!$A$2:$A$35,0))+(('Legend Attributes'!I15-1)/19)*(INDEX('Conversion Range'!$D$2:$D$35,MATCH(I$1,'Conversion Range'!$A$2:$A$35,0))-INDEX('Conversion Range'!$C$2:$C$35,MATCH(I$1,'Conversion Range'!$A$2:$A$35,0)))),3))</f>
        <v>1.679</v>
      </c>
      <c r="J15" s="15">
        <f>IF('Legend Attributes'!J15=0,0,ROUND(IF(INDEX('Conversion Range'!$E$2:$E$35,MATCH(J$1,'Conversion Range'!$A$2:$A$35,0))=1,INDEX('Conversion Range'!$D$2:$D$35,MATCH(J$1,'Conversion Range'!$A$2:$A$35,0))-(('Legend Attributes'!J15-1)/19)*(INDEX('Conversion Range'!$D$2:$D$35,MATCH(J$1,'Conversion Range'!$A$2:$A$35,0))-INDEX('Conversion Range'!$C$2:$C$35,MATCH(J$1,'Conversion Range'!$A$2:$A$35,0))),INDEX('Conversion Range'!$C$2:$C$35,MATCH(J$1,'Conversion Range'!$A$2:$A$35,0))+(('Legend Attributes'!J15-1)/19)*(INDEX('Conversion Range'!$D$2:$D$35,MATCH(J$1,'Conversion Range'!$A$2:$A$35,0))-INDEX('Conversion Range'!$C$2:$C$35,MATCH(J$1,'Conversion Range'!$A$2:$A$35,0)))),3))</f>
        <v>1.9950000000000001</v>
      </c>
      <c r="K15" s="15">
        <f>IF('Legend Attributes'!K15=0,0,ROUND(IF(INDEX('Conversion Range'!$E$2:$E$35,MATCH(K$1,'Conversion Range'!$A$2:$A$35,0))=1,INDEX('Conversion Range'!$D$2:$D$35,MATCH(K$1,'Conversion Range'!$A$2:$A$35,0))-(('Legend Attributes'!K15-1)/19)*(INDEX('Conversion Range'!$D$2:$D$35,MATCH(K$1,'Conversion Range'!$A$2:$A$35,0))-INDEX('Conversion Range'!$C$2:$C$35,MATCH(K$1,'Conversion Range'!$A$2:$A$35,0))),INDEX('Conversion Range'!$C$2:$C$35,MATCH(K$1,'Conversion Range'!$A$2:$A$35,0))+(('Legend Attributes'!K15-1)/19)*(INDEX('Conversion Range'!$D$2:$D$35,MATCH(K$1,'Conversion Range'!$A$2:$A$35,0))-INDEX('Conversion Range'!$C$2:$C$35,MATCH(K$1,'Conversion Range'!$A$2:$A$35,0)))),3))</f>
        <v>1.605</v>
      </c>
      <c r="L15" s="15">
        <f>IF('Legend Attributes'!L15=0,0,ROUND(IF(INDEX('Conversion Range'!$E$2:$E$35,MATCH(L$1,'Conversion Range'!$A$2:$A$35,0))=1,INDEX('Conversion Range'!$D$2:$D$35,MATCH(L$1,'Conversion Range'!$A$2:$A$35,0))-(('Legend Attributes'!L15-1)/19)*(INDEX('Conversion Range'!$D$2:$D$35,MATCH(L$1,'Conversion Range'!$A$2:$A$35,0))-INDEX('Conversion Range'!$C$2:$C$35,MATCH(L$1,'Conversion Range'!$A$2:$A$35,0))),INDEX('Conversion Range'!$C$2:$C$35,MATCH(L$1,'Conversion Range'!$A$2:$A$35,0))+(('Legend Attributes'!L15-1)/19)*(INDEX('Conversion Range'!$D$2:$D$35,MATCH(L$1,'Conversion Range'!$A$2:$A$35,0))-INDEX('Conversion Range'!$C$2:$C$35,MATCH(L$1,'Conversion Range'!$A$2:$A$35,0)))),3))</f>
        <v>1.6319999999999999</v>
      </c>
      <c r="M15" s="15">
        <f>IF('Legend Attributes'!M15=0,0,ROUND(IF(INDEX('Conversion Range'!$E$2:$E$35,MATCH(M$1,'Conversion Range'!$A$2:$A$35,0))=1,INDEX('Conversion Range'!$D$2:$D$35,MATCH(M$1,'Conversion Range'!$A$2:$A$35,0))-(('Legend Attributes'!M15-1)/19)*(INDEX('Conversion Range'!$D$2:$D$35,MATCH(M$1,'Conversion Range'!$A$2:$A$35,0))-INDEX('Conversion Range'!$C$2:$C$35,MATCH(M$1,'Conversion Range'!$A$2:$A$35,0))),INDEX('Conversion Range'!$C$2:$C$35,MATCH(M$1,'Conversion Range'!$A$2:$A$35,0))+(('Legend Attributes'!M15-1)/19)*(INDEX('Conversion Range'!$D$2:$D$35,MATCH(M$1,'Conversion Range'!$A$2:$A$35,0))-INDEX('Conversion Range'!$C$2:$C$35,MATCH(M$1,'Conversion Range'!$A$2:$A$35,0)))),3))</f>
        <v>0.33700000000000002</v>
      </c>
      <c r="N15" s="15">
        <f>IF('Legend Attributes'!N15=0,0,ROUND(IF(INDEX('Conversion Range'!$E$2:$E$35,MATCH(N$1,'Conversion Range'!$A$2:$A$35,0))=1,INDEX('Conversion Range'!$D$2:$D$35,MATCH(N$1,'Conversion Range'!$A$2:$A$35,0))-(('Legend Attributes'!N15-1)/19)*(INDEX('Conversion Range'!$D$2:$D$35,MATCH(N$1,'Conversion Range'!$A$2:$A$35,0))-INDEX('Conversion Range'!$C$2:$C$35,MATCH(N$1,'Conversion Range'!$A$2:$A$35,0))),INDEX('Conversion Range'!$C$2:$C$35,MATCH(N$1,'Conversion Range'!$A$2:$A$35,0))+(('Legend Attributes'!N15-1)/19)*(INDEX('Conversion Range'!$D$2:$D$35,MATCH(N$1,'Conversion Range'!$A$2:$A$35,0))-INDEX('Conversion Range'!$C$2:$C$35,MATCH(N$1,'Conversion Range'!$A$2:$A$35,0)))),3))</f>
        <v>7.1319999999999997</v>
      </c>
      <c r="O15" s="15">
        <f>IF('Legend Attributes'!O15=0,0,ROUND(IF(INDEX('Conversion Range'!$E$2:$E$35,MATCH(O$1,'Conversion Range'!$A$2:$A$35,0))=1,INDEX('Conversion Range'!$D$2:$D$35,MATCH(O$1,'Conversion Range'!$A$2:$A$35,0))-(('Legend Attributes'!O15-1)/19)*(INDEX('Conversion Range'!$D$2:$D$35,MATCH(O$1,'Conversion Range'!$A$2:$A$35,0))-INDEX('Conversion Range'!$C$2:$C$35,MATCH(O$1,'Conversion Range'!$A$2:$A$35,0))),INDEX('Conversion Range'!$C$2:$C$35,MATCH(O$1,'Conversion Range'!$A$2:$A$35,0))+(('Legend Attributes'!O15-1)/19)*(INDEX('Conversion Range'!$D$2:$D$35,MATCH(O$1,'Conversion Range'!$A$2:$A$35,0))-INDEX('Conversion Range'!$C$2:$C$35,MATCH(O$1,'Conversion Range'!$A$2:$A$35,0)))),3))</f>
        <v>1.732</v>
      </c>
      <c r="P15" s="15">
        <f>IF('Legend Attributes'!P15=0,0,ROUND(IF(INDEX('Conversion Range'!$E$2:$E$35,MATCH(P$1,'Conversion Range'!$A$2:$A$35,0))=1,INDEX('Conversion Range'!$D$2:$D$35,MATCH(P$1,'Conversion Range'!$A$2:$A$35,0))-(('Legend Attributes'!P15-1)/19)*(INDEX('Conversion Range'!$D$2:$D$35,MATCH(P$1,'Conversion Range'!$A$2:$A$35,0))-INDEX('Conversion Range'!$C$2:$C$35,MATCH(P$1,'Conversion Range'!$A$2:$A$35,0))),INDEX('Conversion Range'!$C$2:$C$35,MATCH(P$1,'Conversion Range'!$A$2:$A$35,0))+(('Legend Attributes'!P15-1)/19)*(INDEX('Conversion Range'!$D$2:$D$35,MATCH(P$1,'Conversion Range'!$A$2:$A$35,0))-INDEX('Conversion Range'!$C$2:$C$35,MATCH(P$1,'Conversion Range'!$A$2:$A$35,0)))),3))</f>
        <v>73.421000000000006</v>
      </c>
      <c r="Q15" s="15">
        <f>IF('Legend Attributes'!Q15=0,0,ROUND(IF(INDEX('Conversion Range'!$E$2:$E$35,MATCH(Q$1,'Conversion Range'!$A$2:$A$35,0))=1,INDEX('Conversion Range'!$D$2:$D$35,MATCH(Q$1,'Conversion Range'!$A$2:$A$35,0))-(('Legend Attributes'!Q15-1)/19)*(INDEX('Conversion Range'!$D$2:$D$35,MATCH(Q$1,'Conversion Range'!$A$2:$A$35,0))-INDEX('Conversion Range'!$C$2:$C$35,MATCH(Q$1,'Conversion Range'!$A$2:$A$35,0))),INDEX('Conversion Range'!$C$2:$C$35,MATCH(Q$1,'Conversion Range'!$A$2:$A$35,0))+(('Legend Attributes'!Q15-1)/19)*(INDEX('Conversion Range'!$D$2:$D$35,MATCH(Q$1,'Conversion Range'!$A$2:$A$35,0))-INDEX('Conversion Range'!$C$2:$C$35,MATCH(Q$1,'Conversion Range'!$A$2:$A$35,0)))),3))</f>
        <v>54.104999999999997</v>
      </c>
      <c r="R15" s="15">
        <f>IF('Legend Attributes'!R15=0,0,ROUND(IF(INDEX('Conversion Range'!$E$2:$E$35,MATCH(R$1,'Conversion Range'!$A$2:$A$35,0))=1,INDEX('Conversion Range'!$D$2:$D$35,MATCH(R$1,'Conversion Range'!$A$2:$A$35,0))-(('Legend Attributes'!R15-1)/19)*(INDEX('Conversion Range'!$D$2:$D$35,MATCH(R$1,'Conversion Range'!$A$2:$A$35,0))-INDEX('Conversion Range'!$C$2:$C$35,MATCH(R$1,'Conversion Range'!$A$2:$A$35,0))),INDEX('Conversion Range'!$C$2:$C$35,MATCH(R$1,'Conversion Range'!$A$2:$A$35,0))+(('Legend Attributes'!R15-1)/19)*(INDEX('Conversion Range'!$D$2:$D$35,MATCH(R$1,'Conversion Range'!$A$2:$A$35,0))-INDEX('Conversion Range'!$C$2:$C$35,MATCH(R$1,'Conversion Range'!$A$2:$A$35,0)))),3))</f>
        <v>90.789000000000001</v>
      </c>
      <c r="S15" s="15">
        <f>IF('Legend Attributes'!S15=0,0,ROUND(IF(INDEX('Conversion Range'!$E$2:$E$35,MATCH(S$1,'Conversion Range'!$A$2:$A$35,0))=1,INDEX('Conversion Range'!$D$2:$D$35,MATCH(S$1,'Conversion Range'!$A$2:$A$35,0))-(('Legend Attributes'!S15-1)/19)*(INDEX('Conversion Range'!$D$2:$D$35,MATCH(S$1,'Conversion Range'!$A$2:$A$35,0))-INDEX('Conversion Range'!$C$2:$C$35,MATCH(S$1,'Conversion Range'!$A$2:$A$35,0))),INDEX('Conversion Range'!$C$2:$C$35,MATCH(S$1,'Conversion Range'!$A$2:$A$35,0))+(('Legend Attributes'!S15-1)/19)*(INDEX('Conversion Range'!$D$2:$D$35,MATCH(S$1,'Conversion Range'!$A$2:$A$35,0))-INDEX('Conversion Range'!$C$2:$C$35,MATCH(S$1,'Conversion Range'!$A$2:$A$35,0)))),3))</f>
        <v>4.6159999999999997</v>
      </c>
      <c r="T15" s="15">
        <f>IF('Legend Attributes'!T15=0,0,ROUND(IF(INDEX('Conversion Range'!$E$2:$E$35,MATCH(T$1,'Conversion Range'!$A$2:$A$35,0))=1,INDEX('Conversion Range'!$D$2:$D$35,MATCH(T$1,'Conversion Range'!$A$2:$A$35,0))-(('Legend Attributes'!T15-1)/19)*(INDEX('Conversion Range'!$D$2:$D$35,MATCH(T$1,'Conversion Range'!$A$2:$A$35,0))-INDEX('Conversion Range'!$C$2:$C$35,MATCH(T$1,'Conversion Range'!$A$2:$A$35,0))),INDEX('Conversion Range'!$C$2:$C$35,MATCH(T$1,'Conversion Range'!$A$2:$A$35,0))+(('Legend Attributes'!T15-1)/19)*(INDEX('Conversion Range'!$D$2:$D$35,MATCH(T$1,'Conversion Range'!$A$2:$A$35,0))-INDEX('Conversion Range'!$C$2:$C$35,MATCH(T$1,'Conversion Range'!$A$2:$A$35,0)))),3))</f>
        <v>56.683999999999997</v>
      </c>
      <c r="U15" s="15">
        <f>IF('Legend Attributes'!U15=0,0,ROUND(IF(INDEX('Conversion Range'!$E$2:$E$35,MATCH(U$1,'Conversion Range'!$A$2:$A$35,0))=1,INDEX('Conversion Range'!$D$2:$D$35,MATCH(U$1,'Conversion Range'!$A$2:$A$35,0))-(('Legend Attributes'!U15-1)/19)*(INDEX('Conversion Range'!$D$2:$D$35,MATCH(U$1,'Conversion Range'!$A$2:$A$35,0))-INDEX('Conversion Range'!$C$2:$C$35,MATCH(U$1,'Conversion Range'!$A$2:$A$35,0))),INDEX('Conversion Range'!$C$2:$C$35,MATCH(U$1,'Conversion Range'!$A$2:$A$35,0))+(('Legend Attributes'!U15-1)/19)*(INDEX('Conversion Range'!$D$2:$D$35,MATCH(U$1,'Conversion Range'!$A$2:$A$35,0))-INDEX('Conversion Range'!$C$2:$C$35,MATCH(U$1,'Conversion Range'!$A$2:$A$35,0)))),3))</f>
        <v>1.6679999999999999</v>
      </c>
      <c r="V15" s="15">
        <f>IF('Legend Attributes'!V15=0,0,ROUND(IF(INDEX('Conversion Range'!$E$2:$E$35,MATCH(V$1,'Conversion Range'!$A$2:$A$35,0))=1,INDEX('Conversion Range'!$D$2:$D$35,MATCH(V$1,'Conversion Range'!$A$2:$A$35,0))-(('Legend Attributes'!V15-1)/19)*(INDEX('Conversion Range'!$D$2:$D$35,MATCH(V$1,'Conversion Range'!$A$2:$A$35,0))-INDEX('Conversion Range'!$C$2:$C$35,MATCH(V$1,'Conversion Range'!$A$2:$A$35,0))),INDEX('Conversion Range'!$C$2:$C$35,MATCH(V$1,'Conversion Range'!$A$2:$A$35,0))+(('Legend Attributes'!V15-1)/19)*(INDEX('Conversion Range'!$D$2:$D$35,MATCH(V$1,'Conversion Range'!$A$2:$A$35,0))-INDEX('Conversion Range'!$C$2:$C$35,MATCH(V$1,'Conversion Range'!$A$2:$A$35,0)))),3))</f>
        <v>48.947000000000003</v>
      </c>
      <c r="W15" s="15">
        <f>IF('Legend Attributes'!W15=0,0,ROUND(IF(INDEX('Conversion Range'!$E$2:$E$35,MATCH(W$1,'Conversion Range'!$A$2:$A$35,0))=1,INDEX('Conversion Range'!$D$2:$D$35,MATCH(W$1,'Conversion Range'!$A$2:$A$35,0))-(('Legend Attributes'!W15-1)/19)*(INDEX('Conversion Range'!$D$2:$D$35,MATCH(W$1,'Conversion Range'!$A$2:$A$35,0))-INDEX('Conversion Range'!$C$2:$C$35,MATCH(W$1,'Conversion Range'!$A$2:$A$35,0))),INDEX('Conversion Range'!$C$2:$C$35,MATCH(W$1,'Conversion Range'!$A$2:$A$35,0))+(('Legend Attributes'!W15-1)/19)*(INDEX('Conversion Range'!$D$2:$D$35,MATCH(W$1,'Conversion Range'!$A$2:$A$35,0))-INDEX('Conversion Range'!$C$2:$C$35,MATCH(W$1,'Conversion Range'!$A$2:$A$35,0)))),3))</f>
        <v>0.23699999999999999</v>
      </c>
      <c r="X15" s="15">
        <f>IF('Legend Attributes'!X15=0,0,ROUND(IF(INDEX('Conversion Range'!$E$2:$E$35,MATCH(X$1,'Conversion Range'!$A$2:$A$35,0))=1,INDEX('Conversion Range'!$D$2:$D$35,MATCH(X$1,'Conversion Range'!$A$2:$A$35,0))-(('Legend Attributes'!X15-1)/19)*(INDEX('Conversion Range'!$D$2:$D$35,MATCH(X$1,'Conversion Range'!$A$2:$A$35,0))-INDEX('Conversion Range'!$C$2:$C$35,MATCH(X$1,'Conversion Range'!$A$2:$A$35,0))),INDEX('Conversion Range'!$C$2:$C$35,MATCH(X$1,'Conversion Range'!$A$2:$A$35,0))+(('Legend Attributes'!X15-1)/19)*(INDEX('Conversion Range'!$D$2:$D$35,MATCH(X$1,'Conversion Range'!$A$2:$A$35,0))-INDEX('Conversion Range'!$C$2:$C$35,MATCH(X$1,'Conversion Range'!$A$2:$A$35,0)))),3))</f>
        <v>0.57899999999999996</v>
      </c>
      <c r="Y15" s="15">
        <f>IF('Legend Attributes'!Y15=0,0,ROUND(IF(INDEX('Conversion Range'!$E$2:$E$35,MATCH(Y$1,'Conversion Range'!$A$2:$A$35,0))=1,INDEX('Conversion Range'!$D$2:$D$35,MATCH(Y$1,'Conversion Range'!$A$2:$A$35,0))-(('Legend Attributes'!Y15-1)/19)*(INDEX('Conversion Range'!$D$2:$D$35,MATCH(Y$1,'Conversion Range'!$A$2:$A$35,0))-INDEX('Conversion Range'!$C$2:$C$35,MATCH(Y$1,'Conversion Range'!$A$2:$A$35,0))),INDEX('Conversion Range'!$C$2:$C$35,MATCH(Y$1,'Conversion Range'!$A$2:$A$35,0))+(('Legend Attributes'!Y15-1)/19)*(INDEX('Conversion Range'!$D$2:$D$35,MATCH(Y$1,'Conversion Range'!$A$2:$A$35,0))-INDEX('Conversion Range'!$C$2:$C$35,MATCH(Y$1,'Conversion Range'!$A$2:$A$35,0)))),3))</f>
        <v>0.23699999999999999</v>
      </c>
      <c r="Z15" s="15">
        <f>IF('Legend Attributes'!Z15=0,0,ROUND(IF(INDEX('Conversion Range'!$E$2:$E$35,MATCH(Z$1,'Conversion Range'!$A$2:$A$35,0))=1,INDEX('Conversion Range'!$D$2:$D$35,MATCH(Z$1,'Conversion Range'!$A$2:$A$35,0))-(('Legend Attributes'!Z15-1)/19)*(INDEX('Conversion Range'!$D$2:$D$35,MATCH(Z$1,'Conversion Range'!$A$2:$A$35,0))-INDEX('Conversion Range'!$C$2:$C$35,MATCH(Z$1,'Conversion Range'!$A$2:$A$35,0))),INDEX('Conversion Range'!$C$2:$C$35,MATCH(Z$1,'Conversion Range'!$A$2:$A$35,0))+(('Legend Attributes'!Z15-1)/19)*(INDEX('Conversion Range'!$D$2:$D$35,MATCH(Z$1,'Conversion Range'!$A$2:$A$35,0))-INDEX('Conversion Range'!$C$2:$C$35,MATCH(Z$1,'Conversion Range'!$A$2:$A$35,0)))),3))</f>
        <v>4.8159999999999998</v>
      </c>
      <c r="AA15" s="15">
        <f>IF('Legend Attributes'!AA15=0,0,ROUND(IF(INDEX('Conversion Range'!$E$2:$E$35,MATCH(AA$1,'Conversion Range'!$A$2:$A$35,0))=1,INDEX('Conversion Range'!$D$2:$D$35,MATCH(AA$1,'Conversion Range'!$A$2:$A$35,0))-(('Legend Attributes'!AA15-1)/19)*(INDEX('Conversion Range'!$D$2:$D$35,MATCH(AA$1,'Conversion Range'!$A$2:$A$35,0))-INDEX('Conversion Range'!$C$2:$C$35,MATCH(AA$1,'Conversion Range'!$A$2:$A$35,0))),INDEX('Conversion Range'!$C$2:$C$35,MATCH(AA$1,'Conversion Range'!$A$2:$A$35,0))+(('Legend Attributes'!AA15-1)/19)*(INDEX('Conversion Range'!$D$2:$D$35,MATCH(AA$1,'Conversion Range'!$A$2:$A$35,0))-INDEX('Conversion Range'!$C$2:$C$35,MATCH(AA$1,'Conversion Range'!$A$2:$A$35,0)))),3))</f>
        <v>0</v>
      </c>
      <c r="AB15" s="15">
        <f>IF('Legend Attributes'!AB15=0,0,ROUND(IF(INDEX('Conversion Range'!$E$2:$E$35,MATCH(AB$1,'Conversion Range'!$A$2:$A$35,0))=1,INDEX('Conversion Range'!$D$2:$D$35,MATCH(AB$1,'Conversion Range'!$A$2:$A$35,0))-(('Legend Attributes'!AB15-1)/19)*(INDEX('Conversion Range'!$D$2:$D$35,MATCH(AB$1,'Conversion Range'!$A$2:$A$35,0))-INDEX('Conversion Range'!$C$2:$C$35,MATCH(AB$1,'Conversion Range'!$A$2:$A$35,0))),INDEX('Conversion Range'!$C$2:$C$35,MATCH(AB$1,'Conversion Range'!$A$2:$A$35,0))+(('Legend Attributes'!AB15-1)/19)*(INDEX('Conversion Range'!$D$2:$D$35,MATCH(AB$1,'Conversion Range'!$A$2:$A$35,0))-INDEX('Conversion Range'!$C$2:$C$35,MATCH(AB$1,'Conversion Range'!$A$2:$A$35,0)))),3))</f>
        <v>0.66600000000000004</v>
      </c>
      <c r="AC15" s="15">
        <f>IF('Legend Attributes'!AC15=0,0,ROUND(IF(INDEX('Conversion Range'!$E$2:$E$35,MATCH(AC$1,'Conversion Range'!$A$2:$A$35,0))=1,INDEX('Conversion Range'!$D$2:$D$35,MATCH(AC$1,'Conversion Range'!$A$2:$A$35,0))-(('Legend Attributes'!AC15-1)/19)*(INDEX('Conversion Range'!$D$2:$D$35,MATCH(AC$1,'Conversion Range'!$A$2:$A$35,0))-INDEX('Conversion Range'!$C$2:$C$35,MATCH(AC$1,'Conversion Range'!$A$2:$A$35,0))),INDEX('Conversion Range'!$C$2:$C$35,MATCH(AC$1,'Conversion Range'!$A$2:$A$35,0))+(('Legend Attributes'!AC15-1)/19)*(INDEX('Conversion Range'!$D$2:$D$35,MATCH(AC$1,'Conversion Range'!$A$2:$A$35,0))-INDEX('Conversion Range'!$C$2:$C$35,MATCH(AC$1,'Conversion Range'!$A$2:$A$35,0)))),3))</f>
        <v>0.441</v>
      </c>
      <c r="AD15" s="15">
        <f>IF('Legend Attributes'!AD15=0,0,ROUND(IF(INDEX('Conversion Range'!$E$2:$E$35,MATCH(AD$1,'Conversion Range'!$A$2:$A$35,0))=1,INDEX('Conversion Range'!$D$2:$D$35,MATCH(AD$1,'Conversion Range'!$A$2:$A$35,0))-(('Legend Attributes'!AD15-1)/19)*(INDEX('Conversion Range'!$D$2:$D$35,MATCH(AD$1,'Conversion Range'!$A$2:$A$35,0))-INDEX('Conversion Range'!$C$2:$C$35,MATCH(AD$1,'Conversion Range'!$A$2:$A$35,0))),INDEX('Conversion Range'!$C$2:$C$35,MATCH(AD$1,'Conversion Range'!$A$2:$A$35,0))+(('Legend Attributes'!AD15-1)/19)*(INDEX('Conversion Range'!$D$2:$D$35,MATCH(AD$1,'Conversion Range'!$A$2:$A$35,0))-INDEX('Conversion Range'!$C$2:$C$35,MATCH(AD$1,'Conversion Range'!$A$2:$A$35,0)))),3))</f>
        <v>0</v>
      </c>
      <c r="AE15" s="15">
        <f>IF('Legend Attributes'!AE15=0,0,ROUND(IF(INDEX('Conversion Range'!$E$2:$E$35,MATCH(AE$1,'Conversion Range'!$A$2:$A$35,0))=1,INDEX('Conversion Range'!$D$2:$D$35,MATCH(AE$1,'Conversion Range'!$A$2:$A$35,0))-(('Legend Attributes'!AE15-1)/19)*(INDEX('Conversion Range'!$D$2:$D$35,MATCH(AE$1,'Conversion Range'!$A$2:$A$35,0))-INDEX('Conversion Range'!$C$2:$C$35,MATCH(AE$1,'Conversion Range'!$A$2:$A$35,0))),INDEX('Conversion Range'!$C$2:$C$35,MATCH(AE$1,'Conversion Range'!$A$2:$A$35,0))+(('Legend Attributes'!AE15-1)/19)*(INDEX('Conversion Range'!$D$2:$D$35,MATCH(AE$1,'Conversion Range'!$A$2:$A$35,0))-INDEX('Conversion Range'!$C$2:$C$35,MATCH(AE$1,'Conversion Range'!$A$2:$A$35,0)))),3))</f>
        <v>0</v>
      </c>
      <c r="AF15" s="15">
        <f>IF('Legend Attributes'!AF15=0,0,ROUND(IF(INDEX('Conversion Range'!$E$2:$E$35,MATCH(AF$1,'Conversion Range'!$A$2:$A$35,0))=1,INDEX('Conversion Range'!$D$2:$D$35,MATCH(AF$1,'Conversion Range'!$A$2:$A$35,0))-(('Legend Attributes'!AF15-1)/19)*(INDEX('Conversion Range'!$D$2:$D$35,MATCH(AF$1,'Conversion Range'!$A$2:$A$35,0))-INDEX('Conversion Range'!$C$2:$C$35,MATCH(AF$1,'Conversion Range'!$A$2:$A$35,0))),INDEX('Conversion Range'!$C$2:$C$35,MATCH(AF$1,'Conversion Range'!$A$2:$A$35,0))+(('Legend Attributes'!AF15-1)/19)*(INDEX('Conversion Range'!$D$2:$D$35,MATCH(AF$1,'Conversion Range'!$A$2:$A$35,0))-INDEX('Conversion Range'!$C$2:$C$35,MATCH(AF$1,'Conversion Range'!$A$2:$A$35,0)))),3))</f>
        <v>0</v>
      </c>
      <c r="AG15" s="15">
        <f>IF('Legend Attributes'!AG15=0,0,ROUND(IF(INDEX('Conversion Range'!$E$2:$E$35,MATCH(AG$1,'Conversion Range'!$A$2:$A$35,0))=1,INDEX('Conversion Range'!$D$2:$D$35,MATCH(AG$1,'Conversion Range'!$A$2:$A$35,0))-(('Legend Attributes'!AG15-1)/19)*(INDEX('Conversion Range'!$D$2:$D$35,MATCH(AG$1,'Conversion Range'!$A$2:$A$35,0))-INDEX('Conversion Range'!$C$2:$C$35,MATCH(AG$1,'Conversion Range'!$A$2:$A$35,0))),INDEX('Conversion Range'!$C$2:$C$35,MATCH(AG$1,'Conversion Range'!$A$2:$A$35,0))+(('Legend Attributes'!AG15-1)/19)*(INDEX('Conversion Range'!$D$2:$D$35,MATCH(AG$1,'Conversion Range'!$A$2:$A$35,0))-INDEX('Conversion Range'!$C$2:$C$35,MATCH(AG$1,'Conversion Range'!$A$2:$A$35,0)))),3))</f>
        <v>0.73699999999999999</v>
      </c>
      <c r="AH15" s="15">
        <f>IF('Legend Attributes'!AH15=0,0,ROUND(IF(INDEX('Conversion Range'!$E$2:$E$35,MATCH(AH$1,'Conversion Range'!$A$2:$A$35,0))=1,INDEX('Conversion Range'!$D$2:$D$35,MATCH(AH$1,'Conversion Range'!$A$2:$A$35,0))-(('Legend Attributes'!AH15-1)/19)*(INDEX('Conversion Range'!$D$2:$D$35,MATCH(AH$1,'Conversion Range'!$A$2:$A$35,0))-INDEX('Conversion Range'!$C$2:$C$35,MATCH(AH$1,'Conversion Range'!$A$2:$A$35,0))),INDEX('Conversion Range'!$C$2:$C$35,MATCH(AH$1,'Conversion Range'!$A$2:$A$35,0))+(('Legend Attributes'!AH15-1)/19)*(INDEX('Conversion Range'!$D$2:$D$35,MATCH(AH$1,'Conversion Range'!$A$2:$A$35,0))-INDEX('Conversion Range'!$C$2:$C$35,MATCH(AH$1,'Conversion Range'!$A$2:$A$35,0)))),3))</f>
        <v>6.5000000000000002E-2</v>
      </c>
      <c r="AI15" s="15">
        <f>IF('Legend Attributes'!AI15=0,0,ROUND(IF(INDEX('Conversion Range'!$E$2:$E$35,MATCH(AI$1,'Conversion Range'!$A$2:$A$35,0))=1,INDEX('Conversion Range'!$D$2:$D$35,MATCH(AI$1,'Conversion Range'!$A$2:$A$35,0))-(('Legend Attributes'!AI15-1)/19)*(INDEX('Conversion Range'!$D$2:$D$35,MATCH(AI$1,'Conversion Range'!$A$2:$A$35,0))-INDEX('Conversion Range'!$C$2:$C$35,MATCH(AI$1,'Conversion Range'!$A$2:$A$35,0))),INDEX('Conversion Range'!$C$2:$C$35,MATCH(AI$1,'Conversion Range'!$A$2:$A$35,0))+(('Legend Attributes'!AI15-1)/19)*(INDEX('Conversion Range'!$D$2:$D$35,MATCH(AI$1,'Conversion Range'!$A$2:$A$35,0))-INDEX('Conversion Range'!$C$2:$C$35,MATCH(AI$1,'Conversion Range'!$A$2:$A$35,0)))),3))</f>
        <v>6.0000000000000001E-3</v>
      </c>
      <c r="AJ15" s="15">
        <f>IF('Legend Attributes'!AJ15=0,0,ROUND(IF(INDEX('Conversion Range'!$E$2:$E$35,MATCH(AJ$1,'Conversion Range'!$A$2:$A$35,0))=1,INDEX('Conversion Range'!$D$2:$D$35,MATCH(AJ$1,'Conversion Range'!$A$2:$A$35,0))-(('Legend Attributes'!AJ15-1)/19)*(INDEX('Conversion Range'!$D$2:$D$35,MATCH(AJ$1,'Conversion Range'!$A$2:$A$35,0))-INDEX('Conversion Range'!$C$2:$C$35,MATCH(AJ$1,'Conversion Range'!$A$2:$A$35,0))),INDEX('Conversion Range'!$C$2:$C$35,MATCH(AJ$1,'Conversion Range'!$A$2:$A$35,0))+(('Legend Attributes'!AJ15-1)/19)*(INDEX('Conversion Range'!$D$2:$D$35,MATCH(AJ$1,'Conversion Range'!$A$2:$A$35,0))-INDEX('Conversion Range'!$C$2:$C$35,MATCH(AJ$1,'Conversion Range'!$A$2:$A$35,0)))),3))</f>
        <v>7.9160000000000004</v>
      </c>
    </row>
    <row r="16" spans="1:36" x14ac:dyDescent="0.35">
      <c r="A16" s="14" t="str">
        <f>'Legend Attributes'!A16</f>
        <v>Ashley Cole</v>
      </c>
      <c r="B16" s="15" t="str">
        <f>'Legend Attributes'!B16</f>
        <v>FB</v>
      </c>
      <c r="C16" s="15">
        <f>IF('Legend Attributes'!C16=0,0,ROUND(IF(INDEX('Conversion Range'!$E$2:$E$35,MATCH(C$1,'Conversion Range'!$A$2:$A$35,0))=1,INDEX('Conversion Range'!$D$2:$D$35,MATCH(C$1,'Conversion Range'!$A$2:$A$35,0))-(('Legend Attributes'!C16-1)/19)*(INDEX('Conversion Range'!$D$2:$D$35,MATCH(C$1,'Conversion Range'!$A$2:$A$35,0))-INDEX('Conversion Range'!$C$2:$C$35,MATCH(C$1,'Conversion Range'!$A$2:$A$35,0))),INDEX('Conversion Range'!$C$2:$C$35,MATCH(C$1,'Conversion Range'!$A$2:$A$35,0))+(('Legend Attributes'!C16-1)/19)*(INDEX('Conversion Range'!$D$2:$D$35,MATCH(C$1,'Conversion Range'!$A$2:$A$35,0))-INDEX('Conversion Range'!$C$2:$C$35,MATCH(C$1,'Conversion Range'!$A$2:$A$35,0)))),3))</f>
        <v>0.02</v>
      </c>
      <c r="D16" s="15">
        <f>IF('Legend Attributes'!D16=0,0,ROUND(IF(INDEX('Conversion Range'!$E$2:$E$35,MATCH(D$1,'Conversion Range'!$A$2:$A$35,0))=1,INDEX('Conversion Range'!$D$2:$D$35,MATCH(D$1,'Conversion Range'!$A$2:$A$35,0))-(('Legend Attributes'!D16-1)/19)*(INDEX('Conversion Range'!$D$2:$D$35,MATCH(D$1,'Conversion Range'!$A$2:$A$35,0))-INDEX('Conversion Range'!$C$2:$C$35,MATCH(D$1,'Conversion Range'!$A$2:$A$35,0))),INDEX('Conversion Range'!$C$2:$C$35,MATCH(D$1,'Conversion Range'!$A$2:$A$35,0))+(('Legend Attributes'!D16-1)/19)*(INDEX('Conversion Range'!$D$2:$D$35,MATCH(D$1,'Conversion Range'!$A$2:$A$35,0))-INDEX('Conversion Range'!$C$2:$C$35,MATCH(D$1,'Conversion Range'!$A$2:$A$35,0)))),3))</f>
        <v>0.02</v>
      </c>
      <c r="E16" s="15">
        <f>IF('Legend Attributes'!E16=0,0,ROUND(IF(INDEX('Conversion Range'!$E$2:$E$35,MATCH(E$1,'Conversion Range'!$A$2:$A$35,0))=1,INDEX('Conversion Range'!$D$2:$D$35,MATCH(E$1,'Conversion Range'!$A$2:$A$35,0))-(('Legend Attributes'!E16-1)/19)*(INDEX('Conversion Range'!$D$2:$D$35,MATCH(E$1,'Conversion Range'!$A$2:$A$35,0))-INDEX('Conversion Range'!$C$2:$C$35,MATCH(E$1,'Conversion Range'!$A$2:$A$35,0))),INDEX('Conversion Range'!$C$2:$C$35,MATCH(E$1,'Conversion Range'!$A$2:$A$35,0))+(('Legend Attributes'!E16-1)/19)*(INDEX('Conversion Range'!$D$2:$D$35,MATCH(E$1,'Conversion Range'!$A$2:$A$35,0))-INDEX('Conversion Range'!$C$2:$C$35,MATCH(E$1,'Conversion Range'!$A$2:$A$35,0)))),3))</f>
        <v>0.152</v>
      </c>
      <c r="F16" s="15">
        <f>IF('Legend Attributes'!F16=0,0,ROUND(IF(INDEX('Conversion Range'!$E$2:$E$35,MATCH(F$1,'Conversion Range'!$A$2:$A$35,0))=1,INDEX('Conversion Range'!$D$2:$D$35,MATCH(F$1,'Conversion Range'!$A$2:$A$35,0))-(('Legend Attributes'!F16-1)/19)*(INDEX('Conversion Range'!$D$2:$D$35,MATCH(F$1,'Conversion Range'!$A$2:$A$35,0))-INDEX('Conversion Range'!$C$2:$C$35,MATCH(F$1,'Conversion Range'!$A$2:$A$35,0))),INDEX('Conversion Range'!$C$2:$C$35,MATCH(F$1,'Conversion Range'!$A$2:$A$35,0))+(('Legend Attributes'!F16-1)/19)*(INDEX('Conversion Range'!$D$2:$D$35,MATCH(F$1,'Conversion Range'!$A$2:$A$35,0))-INDEX('Conversion Range'!$C$2:$C$35,MATCH(F$1,'Conversion Range'!$A$2:$A$35,0)))),3))</f>
        <v>0.35299999999999998</v>
      </c>
      <c r="G16" s="15">
        <f>IF('Legend Attributes'!G16=0,0,ROUND(IF(INDEX('Conversion Range'!$E$2:$E$35,MATCH(G$1,'Conversion Range'!$A$2:$A$35,0))=1,INDEX('Conversion Range'!$D$2:$D$35,MATCH(G$1,'Conversion Range'!$A$2:$A$35,0))-(('Legend Attributes'!G16-1)/19)*(INDEX('Conversion Range'!$D$2:$D$35,MATCH(G$1,'Conversion Range'!$A$2:$A$35,0))-INDEX('Conversion Range'!$C$2:$C$35,MATCH(G$1,'Conversion Range'!$A$2:$A$35,0))),INDEX('Conversion Range'!$C$2:$C$35,MATCH(G$1,'Conversion Range'!$A$2:$A$35,0))+(('Legend Attributes'!G16-1)/19)*(INDEX('Conversion Range'!$D$2:$D$35,MATCH(G$1,'Conversion Range'!$A$2:$A$35,0))-INDEX('Conversion Range'!$C$2:$C$35,MATCH(G$1,'Conversion Range'!$A$2:$A$35,0)))),3))</f>
        <v>0.08</v>
      </c>
      <c r="H16" s="15">
        <f>IF('Legend Attributes'!H16=0,0,ROUND(IF(INDEX('Conversion Range'!$E$2:$E$35,MATCH(H$1,'Conversion Range'!$A$2:$A$35,0))=1,INDEX('Conversion Range'!$D$2:$D$35,MATCH(H$1,'Conversion Range'!$A$2:$A$35,0))-(('Legend Attributes'!H16-1)/19)*(INDEX('Conversion Range'!$D$2:$D$35,MATCH(H$1,'Conversion Range'!$A$2:$A$35,0))-INDEX('Conversion Range'!$C$2:$C$35,MATCH(H$1,'Conversion Range'!$A$2:$A$35,0))),INDEX('Conversion Range'!$C$2:$C$35,MATCH(H$1,'Conversion Range'!$A$2:$A$35,0))+(('Legend Attributes'!H16-1)/19)*(INDEX('Conversion Range'!$D$2:$D$35,MATCH(H$1,'Conversion Range'!$A$2:$A$35,0))-INDEX('Conversion Range'!$C$2:$C$35,MATCH(H$1,'Conversion Range'!$A$2:$A$35,0)))),3))</f>
        <v>0</v>
      </c>
      <c r="I16" s="15">
        <f>IF('Legend Attributes'!I16=0,0,ROUND(IF(INDEX('Conversion Range'!$E$2:$E$35,MATCH(I$1,'Conversion Range'!$A$2:$A$35,0))=1,INDEX('Conversion Range'!$D$2:$D$35,MATCH(I$1,'Conversion Range'!$A$2:$A$35,0))-(('Legend Attributes'!I16-1)/19)*(INDEX('Conversion Range'!$D$2:$D$35,MATCH(I$1,'Conversion Range'!$A$2:$A$35,0))-INDEX('Conversion Range'!$C$2:$C$35,MATCH(I$1,'Conversion Range'!$A$2:$A$35,0))),INDEX('Conversion Range'!$C$2:$C$35,MATCH(I$1,'Conversion Range'!$A$2:$A$35,0))+(('Legend Attributes'!I16-1)/19)*(INDEX('Conversion Range'!$D$2:$D$35,MATCH(I$1,'Conversion Range'!$A$2:$A$35,0))-INDEX('Conversion Range'!$C$2:$C$35,MATCH(I$1,'Conversion Range'!$A$2:$A$35,0)))),3))</f>
        <v>0.75800000000000001</v>
      </c>
      <c r="J16" s="15">
        <f>IF('Legend Attributes'!J16=0,0,ROUND(IF(INDEX('Conversion Range'!$E$2:$E$35,MATCH(J$1,'Conversion Range'!$A$2:$A$35,0))=1,INDEX('Conversion Range'!$D$2:$D$35,MATCH(J$1,'Conversion Range'!$A$2:$A$35,0))-(('Legend Attributes'!J16-1)/19)*(INDEX('Conversion Range'!$D$2:$D$35,MATCH(J$1,'Conversion Range'!$A$2:$A$35,0))-INDEX('Conversion Range'!$C$2:$C$35,MATCH(J$1,'Conversion Range'!$A$2:$A$35,0))),INDEX('Conversion Range'!$C$2:$C$35,MATCH(J$1,'Conversion Range'!$A$2:$A$35,0))+(('Legend Attributes'!J16-1)/19)*(INDEX('Conversion Range'!$D$2:$D$35,MATCH(J$1,'Conversion Range'!$A$2:$A$35,0))-INDEX('Conversion Range'!$C$2:$C$35,MATCH(J$1,'Conversion Range'!$A$2:$A$35,0)))),3))</f>
        <v>2.8109999999999999</v>
      </c>
      <c r="K16" s="15">
        <f>IF('Legend Attributes'!K16=0,0,ROUND(IF(INDEX('Conversion Range'!$E$2:$E$35,MATCH(K$1,'Conversion Range'!$A$2:$A$35,0))=1,INDEX('Conversion Range'!$D$2:$D$35,MATCH(K$1,'Conversion Range'!$A$2:$A$35,0))-(('Legend Attributes'!K16-1)/19)*(INDEX('Conversion Range'!$D$2:$D$35,MATCH(K$1,'Conversion Range'!$A$2:$A$35,0))-INDEX('Conversion Range'!$C$2:$C$35,MATCH(K$1,'Conversion Range'!$A$2:$A$35,0))),INDEX('Conversion Range'!$C$2:$C$35,MATCH(K$1,'Conversion Range'!$A$2:$A$35,0))+(('Legend Attributes'!K16-1)/19)*(INDEX('Conversion Range'!$D$2:$D$35,MATCH(K$1,'Conversion Range'!$A$2:$A$35,0))-INDEX('Conversion Range'!$C$2:$C$35,MATCH(K$1,'Conversion Range'!$A$2:$A$35,0)))),3))</f>
        <v>1.837</v>
      </c>
      <c r="L16" s="15">
        <f>IF('Legend Attributes'!L16=0,0,ROUND(IF(INDEX('Conversion Range'!$E$2:$E$35,MATCH(L$1,'Conversion Range'!$A$2:$A$35,0))=1,INDEX('Conversion Range'!$D$2:$D$35,MATCH(L$1,'Conversion Range'!$A$2:$A$35,0))-(('Legend Attributes'!L16-1)/19)*(INDEX('Conversion Range'!$D$2:$D$35,MATCH(L$1,'Conversion Range'!$A$2:$A$35,0))-INDEX('Conversion Range'!$C$2:$C$35,MATCH(L$1,'Conversion Range'!$A$2:$A$35,0))),INDEX('Conversion Range'!$C$2:$C$35,MATCH(L$1,'Conversion Range'!$A$2:$A$35,0))+(('Legend Attributes'!L16-1)/19)*(INDEX('Conversion Range'!$D$2:$D$35,MATCH(L$1,'Conversion Range'!$A$2:$A$35,0))-INDEX('Conversion Range'!$C$2:$C$35,MATCH(L$1,'Conversion Range'!$A$2:$A$35,0)))),3))</f>
        <v>2.6110000000000002</v>
      </c>
      <c r="M16" s="15">
        <f>IF('Legend Attributes'!M16=0,0,ROUND(IF(INDEX('Conversion Range'!$E$2:$E$35,MATCH(M$1,'Conversion Range'!$A$2:$A$35,0))=1,INDEX('Conversion Range'!$D$2:$D$35,MATCH(M$1,'Conversion Range'!$A$2:$A$35,0))-(('Legend Attributes'!M16-1)/19)*(INDEX('Conversion Range'!$D$2:$D$35,MATCH(M$1,'Conversion Range'!$A$2:$A$35,0))-INDEX('Conversion Range'!$C$2:$C$35,MATCH(M$1,'Conversion Range'!$A$2:$A$35,0))),INDEX('Conversion Range'!$C$2:$C$35,MATCH(M$1,'Conversion Range'!$A$2:$A$35,0))+(('Legend Attributes'!M16-1)/19)*(INDEX('Conversion Range'!$D$2:$D$35,MATCH(M$1,'Conversion Range'!$A$2:$A$35,0))-INDEX('Conversion Range'!$C$2:$C$35,MATCH(M$1,'Conversion Range'!$A$2:$A$35,0)))),3))</f>
        <v>0.505</v>
      </c>
      <c r="N16" s="15">
        <f>IF('Legend Attributes'!N16=0,0,ROUND(IF(INDEX('Conversion Range'!$E$2:$E$35,MATCH(N$1,'Conversion Range'!$A$2:$A$35,0))=1,INDEX('Conversion Range'!$D$2:$D$35,MATCH(N$1,'Conversion Range'!$A$2:$A$35,0))-(('Legend Attributes'!N16-1)/19)*(INDEX('Conversion Range'!$D$2:$D$35,MATCH(N$1,'Conversion Range'!$A$2:$A$35,0))-INDEX('Conversion Range'!$C$2:$C$35,MATCH(N$1,'Conversion Range'!$A$2:$A$35,0))),INDEX('Conversion Range'!$C$2:$C$35,MATCH(N$1,'Conversion Range'!$A$2:$A$35,0))+(('Legend Attributes'!N16-1)/19)*(INDEX('Conversion Range'!$D$2:$D$35,MATCH(N$1,'Conversion Range'!$A$2:$A$35,0))-INDEX('Conversion Range'!$C$2:$C$35,MATCH(N$1,'Conversion Range'!$A$2:$A$35,0)))),3))</f>
        <v>7.1319999999999997</v>
      </c>
      <c r="O16" s="15">
        <f>IF('Legend Attributes'!O16=0,0,ROUND(IF(INDEX('Conversion Range'!$E$2:$E$35,MATCH(O$1,'Conversion Range'!$A$2:$A$35,0))=1,INDEX('Conversion Range'!$D$2:$D$35,MATCH(O$1,'Conversion Range'!$A$2:$A$35,0))-(('Legend Attributes'!O16-1)/19)*(INDEX('Conversion Range'!$D$2:$D$35,MATCH(O$1,'Conversion Range'!$A$2:$A$35,0))-INDEX('Conversion Range'!$C$2:$C$35,MATCH(O$1,'Conversion Range'!$A$2:$A$35,0))),INDEX('Conversion Range'!$C$2:$C$35,MATCH(O$1,'Conversion Range'!$A$2:$A$35,0))+(('Legend Attributes'!O16-1)/19)*(INDEX('Conversion Range'!$D$2:$D$35,MATCH(O$1,'Conversion Range'!$A$2:$A$35,0))-INDEX('Conversion Range'!$C$2:$C$35,MATCH(O$1,'Conversion Range'!$A$2:$A$35,0)))),3))</f>
        <v>1.242</v>
      </c>
      <c r="P16" s="15">
        <f>IF('Legend Attributes'!P16=0,0,ROUND(IF(INDEX('Conversion Range'!$E$2:$E$35,MATCH(P$1,'Conversion Range'!$A$2:$A$35,0))=1,INDEX('Conversion Range'!$D$2:$D$35,MATCH(P$1,'Conversion Range'!$A$2:$A$35,0))-(('Legend Attributes'!P16-1)/19)*(INDEX('Conversion Range'!$D$2:$D$35,MATCH(P$1,'Conversion Range'!$A$2:$A$35,0))-INDEX('Conversion Range'!$C$2:$C$35,MATCH(P$1,'Conversion Range'!$A$2:$A$35,0))),INDEX('Conversion Range'!$C$2:$C$35,MATCH(P$1,'Conversion Range'!$A$2:$A$35,0))+(('Legend Attributes'!P16-1)/19)*(INDEX('Conversion Range'!$D$2:$D$35,MATCH(P$1,'Conversion Range'!$A$2:$A$35,0))-INDEX('Conversion Range'!$C$2:$C$35,MATCH(P$1,'Conversion Range'!$A$2:$A$35,0)))),3))</f>
        <v>64.736999999999995</v>
      </c>
      <c r="Q16" s="15">
        <f>IF('Legend Attributes'!Q16=0,0,ROUND(IF(INDEX('Conversion Range'!$E$2:$E$35,MATCH(Q$1,'Conversion Range'!$A$2:$A$35,0))=1,INDEX('Conversion Range'!$D$2:$D$35,MATCH(Q$1,'Conversion Range'!$A$2:$A$35,0))-(('Legend Attributes'!Q16-1)/19)*(INDEX('Conversion Range'!$D$2:$D$35,MATCH(Q$1,'Conversion Range'!$A$2:$A$35,0))-INDEX('Conversion Range'!$C$2:$C$35,MATCH(Q$1,'Conversion Range'!$A$2:$A$35,0))),INDEX('Conversion Range'!$C$2:$C$35,MATCH(Q$1,'Conversion Range'!$A$2:$A$35,0))+(('Legend Attributes'!Q16-1)/19)*(INDEX('Conversion Range'!$D$2:$D$35,MATCH(Q$1,'Conversion Range'!$A$2:$A$35,0))-INDEX('Conversion Range'!$C$2:$C$35,MATCH(Q$1,'Conversion Range'!$A$2:$A$35,0)))),3))</f>
        <v>59.316000000000003</v>
      </c>
      <c r="R16" s="15">
        <f>IF('Legend Attributes'!R16=0,0,ROUND(IF(INDEX('Conversion Range'!$E$2:$E$35,MATCH(R$1,'Conversion Range'!$A$2:$A$35,0))=1,INDEX('Conversion Range'!$D$2:$D$35,MATCH(R$1,'Conversion Range'!$A$2:$A$35,0))-(('Legend Attributes'!R16-1)/19)*(INDEX('Conversion Range'!$D$2:$D$35,MATCH(R$1,'Conversion Range'!$A$2:$A$35,0))-INDEX('Conversion Range'!$C$2:$C$35,MATCH(R$1,'Conversion Range'!$A$2:$A$35,0))),INDEX('Conversion Range'!$C$2:$C$35,MATCH(R$1,'Conversion Range'!$A$2:$A$35,0))+(('Legend Attributes'!R16-1)/19)*(INDEX('Conversion Range'!$D$2:$D$35,MATCH(R$1,'Conversion Range'!$A$2:$A$35,0))-INDEX('Conversion Range'!$C$2:$C$35,MATCH(R$1,'Conversion Range'!$A$2:$A$35,0)))),3))</f>
        <v>80.263000000000005</v>
      </c>
      <c r="S16" s="15">
        <f>IF('Legend Attributes'!S16=0,0,ROUND(IF(INDEX('Conversion Range'!$E$2:$E$35,MATCH(S$1,'Conversion Range'!$A$2:$A$35,0))=1,INDEX('Conversion Range'!$D$2:$D$35,MATCH(S$1,'Conversion Range'!$A$2:$A$35,0))-(('Legend Attributes'!S16-1)/19)*(INDEX('Conversion Range'!$D$2:$D$35,MATCH(S$1,'Conversion Range'!$A$2:$A$35,0))-INDEX('Conversion Range'!$C$2:$C$35,MATCH(S$1,'Conversion Range'!$A$2:$A$35,0))),INDEX('Conversion Range'!$C$2:$C$35,MATCH(S$1,'Conversion Range'!$A$2:$A$35,0))+(('Legend Attributes'!S16-1)/19)*(INDEX('Conversion Range'!$D$2:$D$35,MATCH(S$1,'Conversion Range'!$A$2:$A$35,0))-INDEX('Conversion Range'!$C$2:$C$35,MATCH(S$1,'Conversion Range'!$A$2:$A$35,0)))),3))</f>
        <v>1.595</v>
      </c>
      <c r="T16" s="15">
        <f>IF('Legend Attributes'!T16=0,0,ROUND(IF(INDEX('Conversion Range'!$E$2:$E$35,MATCH(T$1,'Conversion Range'!$A$2:$A$35,0))=1,INDEX('Conversion Range'!$D$2:$D$35,MATCH(T$1,'Conversion Range'!$A$2:$A$35,0))-(('Legend Attributes'!T16-1)/19)*(INDEX('Conversion Range'!$D$2:$D$35,MATCH(T$1,'Conversion Range'!$A$2:$A$35,0))-INDEX('Conversion Range'!$C$2:$C$35,MATCH(T$1,'Conversion Range'!$A$2:$A$35,0))),INDEX('Conversion Range'!$C$2:$C$35,MATCH(T$1,'Conversion Range'!$A$2:$A$35,0))+(('Legend Attributes'!T16-1)/19)*(INDEX('Conversion Range'!$D$2:$D$35,MATCH(T$1,'Conversion Range'!$A$2:$A$35,0))-INDEX('Conversion Range'!$C$2:$C$35,MATCH(T$1,'Conversion Range'!$A$2:$A$35,0)))),3))</f>
        <v>40.841999999999999</v>
      </c>
      <c r="U16" s="15">
        <f>IF('Legend Attributes'!U16=0,0,ROUND(IF(INDEX('Conversion Range'!$E$2:$E$35,MATCH(U$1,'Conversion Range'!$A$2:$A$35,0))=1,INDEX('Conversion Range'!$D$2:$D$35,MATCH(U$1,'Conversion Range'!$A$2:$A$35,0))-(('Legend Attributes'!U16-1)/19)*(INDEX('Conversion Range'!$D$2:$D$35,MATCH(U$1,'Conversion Range'!$A$2:$A$35,0))-INDEX('Conversion Range'!$C$2:$C$35,MATCH(U$1,'Conversion Range'!$A$2:$A$35,0))),INDEX('Conversion Range'!$C$2:$C$35,MATCH(U$1,'Conversion Range'!$A$2:$A$35,0))+(('Legend Attributes'!U16-1)/19)*(INDEX('Conversion Range'!$D$2:$D$35,MATCH(U$1,'Conversion Range'!$A$2:$A$35,0))-INDEX('Conversion Range'!$C$2:$C$35,MATCH(U$1,'Conversion Range'!$A$2:$A$35,0)))),3))</f>
        <v>1.6679999999999999</v>
      </c>
      <c r="V16" s="15">
        <f>IF('Legend Attributes'!V16=0,0,ROUND(IF(INDEX('Conversion Range'!$E$2:$E$35,MATCH(V$1,'Conversion Range'!$A$2:$A$35,0))=1,INDEX('Conversion Range'!$D$2:$D$35,MATCH(V$1,'Conversion Range'!$A$2:$A$35,0))-(('Legend Attributes'!V16-1)/19)*(INDEX('Conversion Range'!$D$2:$D$35,MATCH(V$1,'Conversion Range'!$A$2:$A$35,0))-INDEX('Conversion Range'!$C$2:$C$35,MATCH(V$1,'Conversion Range'!$A$2:$A$35,0))),INDEX('Conversion Range'!$C$2:$C$35,MATCH(V$1,'Conversion Range'!$A$2:$A$35,0))+(('Legend Attributes'!V16-1)/19)*(INDEX('Conversion Range'!$D$2:$D$35,MATCH(V$1,'Conversion Range'!$A$2:$A$35,0))-INDEX('Conversion Range'!$C$2:$C$35,MATCH(V$1,'Conversion Range'!$A$2:$A$35,0)))),3))</f>
        <v>48.947000000000003</v>
      </c>
      <c r="W16" s="15">
        <f>IF('Legend Attributes'!W16=0,0,ROUND(IF(INDEX('Conversion Range'!$E$2:$E$35,MATCH(W$1,'Conversion Range'!$A$2:$A$35,0))=1,INDEX('Conversion Range'!$D$2:$D$35,MATCH(W$1,'Conversion Range'!$A$2:$A$35,0))-(('Legend Attributes'!W16-1)/19)*(INDEX('Conversion Range'!$D$2:$D$35,MATCH(W$1,'Conversion Range'!$A$2:$A$35,0))-INDEX('Conversion Range'!$C$2:$C$35,MATCH(W$1,'Conversion Range'!$A$2:$A$35,0))),INDEX('Conversion Range'!$C$2:$C$35,MATCH(W$1,'Conversion Range'!$A$2:$A$35,0))+(('Legend Attributes'!W16-1)/19)*(INDEX('Conversion Range'!$D$2:$D$35,MATCH(W$1,'Conversion Range'!$A$2:$A$35,0))-INDEX('Conversion Range'!$C$2:$C$35,MATCH(W$1,'Conversion Range'!$A$2:$A$35,0)))),3))</f>
        <v>0.105</v>
      </c>
      <c r="X16" s="15">
        <f>IF('Legend Attributes'!X16=0,0,ROUND(IF(INDEX('Conversion Range'!$E$2:$E$35,MATCH(X$1,'Conversion Range'!$A$2:$A$35,0))=1,INDEX('Conversion Range'!$D$2:$D$35,MATCH(X$1,'Conversion Range'!$A$2:$A$35,0))-(('Legend Attributes'!X16-1)/19)*(INDEX('Conversion Range'!$D$2:$D$35,MATCH(X$1,'Conversion Range'!$A$2:$A$35,0))-INDEX('Conversion Range'!$C$2:$C$35,MATCH(X$1,'Conversion Range'!$A$2:$A$35,0))),INDEX('Conversion Range'!$C$2:$C$35,MATCH(X$1,'Conversion Range'!$A$2:$A$35,0))+(('Legend Attributes'!X16-1)/19)*(INDEX('Conversion Range'!$D$2:$D$35,MATCH(X$1,'Conversion Range'!$A$2:$A$35,0))-INDEX('Conversion Range'!$C$2:$C$35,MATCH(X$1,'Conversion Range'!$A$2:$A$35,0)))),3))</f>
        <v>0.23200000000000001</v>
      </c>
      <c r="Y16" s="15">
        <f>IF('Legend Attributes'!Y16=0,0,ROUND(IF(INDEX('Conversion Range'!$E$2:$E$35,MATCH(Y$1,'Conversion Range'!$A$2:$A$35,0))=1,INDEX('Conversion Range'!$D$2:$D$35,MATCH(Y$1,'Conversion Range'!$A$2:$A$35,0))-(('Legend Attributes'!Y16-1)/19)*(INDEX('Conversion Range'!$D$2:$D$35,MATCH(Y$1,'Conversion Range'!$A$2:$A$35,0))-INDEX('Conversion Range'!$C$2:$C$35,MATCH(Y$1,'Conversion Range'!$A$2:$A$35,0))),INDEX('Conversion Range'!$C$2:$C$35,MATCH(Y$1,'Conversion Range'!$A$2:$A$35,0))+(('Legend Attributes'!Y16-1)/19)*(INDEX('Conversion Range'!$D$2:$D$35,MATCH(Y$1,'Conversion Range'!$A$2:$A$35,0))-INDEX('Conversion Range'!$C$2:$C$35,MATCH(Y$1,'Conversion Range'!$A$2:$A$35,0)))),3))</f>
        <v>0.14199999999999999</v>
      </c>
      <c r="Z16" s="15">
        <f>IF('Legend Attributes'!Z16=0,0,ROUND(IF(INDEX('Conversion Range'!$E$2:$E$35,MATCH(Z$1,'Conversion Range'!$A$2:$A$35,0))=1,INDEX('Conversion Range'!$D$2:$D$35,MATCH(Z$1,'Conversion Range'!$A$2:$A$35,0))-(('Legend Attributes'!Z16-1)/19)*(INDEX('Conversion Range'!$D$2:$D$35,MATCH(Z$1,'Conversion Range'!$A$2:$A$35,0))-INDEX('Conversion Range'!$C$2:$C$35,MATCH(Z$1,'Conversion Range'!$A$2:$A$35,0))),INDEX('Conversion Range'!$C$2:$C$35,MATCH(Z$1,'Conversion Range'!$A$2:$A$35,0))+(('Legend Attributes'!Z16-1)/19)*(INDEX('Conversion Range'!$D$2:$D$35,MATCH(Z$1,'Conversion Range'!$A$2:$A$35,0))-INDEX('Conversion Range'!$C$2:$C$35,MATCH(Z$1,'Conversion Range'!$A$2:$A$35,0)))),3))</f>
        <v>4.8159999999999998</v>
      </c>
      <c r="AA16" s="15">
        <f>IF('Legend Attributes'!AA16=0,0,ROUND(IF(INDEX('Conversion Range'!$E$2:$E$35,MATCH(AA$1,'Conversion Range'!$A$2:$A$35,0))=1,INDEX('Conversion Range'!$D$2:$D$35,MATCH(AA$1,'Conversion Range'!$A$2:$A$35,0))-(('Legend Attributes'!AA16-1)/19)*(INDEX('Conversion Range'!$D$2:$D$35,MATCH(AA$1,'Conversion Range'!$A$2:$A$35,0))-INDEX('Conversion Range'!$C$2:$C$35,MATCH(AA$1,'Conversion Range'!$A$2:$A$35,0))),INDEX('Conversion Range'!$C$2:$C$35,MATCH(AA$1,'Conversion Range'!$A$2:$A$35,0))+(('Legend Attributes'!AA16-1)/19)*(INDEX('Conversion Range'!$D$2:$D$35,MATCH(AA$1,'Conversion Range'!$A$2:$A$35,0))-INDEX('Conversion Range'!$C$2:$C$35,MATCH(AA$1,'Conversion Range'!$A$2:$A$35,0)))),3))</f>
        <v>0</v>
      </c>
      <c r="AB16" s="15">
        <f>IF('Legend Attributes'!AB16=0,0,ROUND(IF(INDEX('Conversion Range'!$E$2:$E$35,MATCH(AB$1,'Conversion Range'!$A$2:$A$35,0))=1,INDEX('Conversion Range'!$D$2:$D$35,MATCH(AB$1,'Conversion Range'!$A$2:$A$35,0))-(('Legend Attributes'!AB16-1)/19)*(INDEX('Conversion Range'!$D$2:$D$35,MATCH(AB$1,'Conversion Range'!$A$2:$A$35,0))-INDEX('Conversion Range'!$C$2:$C$35,MATCH(AB$1,'Conversion Range'!$A$2:$A$35,0))),INDEX('Conversion Range'!$C$2:$C$35,MATCH(AB$1,'Conversion Range'!$A$2:$A$35,0))+(('Legend Attributes'!AB16-1)/19)*(INDEX('Conversion Range'!$D$2:$D$35,MATCH(AB$1,'Conversion Range'!$A$2:$A$35,0))-INDEX('Conversion Range'!$C$2:$C$35,MATCH(AB$1,'Conversion Range'!$A$2:$A$35,0)))),3))</f>
        <v>0.38200000000000001</v>
      </c>
      <c r="AC16" s="15">
        <f>IF('Legend Attributes'!AC16=0,0,ROUND(IF(INDEX('Conversion Range'!$E$2:$E$35,MATCH(AC$1,'Conversion Range'!$A$2:$A$35,0))=1,INDEX('Conversion Range'!$D$2:$D$35,MATCH(AC$1,'Conversion Range'!$A$2:$A$35,0))-(('Legend Attributes'!AC16-1)/19)*(INDEX('Conversion Range'!$D$2:$D$35,MATCH(AC$1,'Conversion Range'!$A$2:$A$35,0))-INDEX('Conversion Range'!$C$2:$C$35,MATCH(AC$1,'Conversion Range'!$A$2:$A$35,0))),INDEX('Conversion Range'!$C$2:$C$35,MATCH(AC$1,'Conversion Range'!$A$2:$A$35,0))+(('Legend Attributes'!AC16-1)/19)*(INDEX('Conversion Range'!$D$2:$D$35,MATCH(AC$1,'Conversion Range'!$A$2:$A$35,0))-INDEX('Conversion Range'!$C$2:$C$35,MATCH(AC$1,'Conversion Range'!$A$2:$A$35,0)))),3))</f>
        <v>0.27600000000000002</v>
      </c>
      <c r="AD16" s="15">
        <f>IF('Legend Attributes'!AD16=0,0,ROUND(IF(INDEX('Conversion Range'!$E$2:$E$35,MATCH(AD$1,'Conversion Range'!$A$2:$A$35,0))=1,INDEX('Conversion Range'!$D$2:$D$35,MATCH(AD$1,'Conversion Range'!$A$2:$A$35,0))-(('Legend Attributes'!AD16-1)/19)*(INDEX('Conversion Range'!$D$2:$D$35,MATCH(AD$1,'Conversion Range'!$A$2:$A$35,0))-INDEX('Conversion Range'!$C$2:$C$35,MATCH(AD$1,'Conversion Range'!$A$2:$A$35,0))),INDEX('Conversion Range'!$C$2:$C$35,MATCH(AD$1,'Conversion Range'!$A$2:$A$35,0))+(('Legend Attributes'!AD16-1)/19)*(INDEX('Conversion Range'!$D$2:$D$35,MATCH(AD$1,'Conversion Range'!$A$2:$A$35,0))-INDEX('Conversion Range'!$C$2:$C$35,MATCH(AD$1,'Conversion Range'!$A$2:$A$35,0)))),3))</f>
        <v>0</v>
      </c>
      <c r="AE16" s="15">
        <f>IF('Legend Attributes'!AE16=0,0,ROUND(IF(INDEX('Conversion Range'!$E$2:$E$35,MATCH(AE$1,'Conversion Range'!$A$2:$A$35,0))=1,INDEX('Conversion Range'!$D$2:$D$35,MATCH(AE$1,'Conversion Range'!$A$2:$A$35,0))-(('Legend Attributes'!AE16-1)/19)*(INDEX('Conversion Range'!$D$2:$D$35,MATCH(AE$1,'Conversion Range'!$A$2:$A$35,0))-INDEX('Conversion Range'!$C$2:$C$35,MATCH(AE$1,'Conversion Range'!$A$2:$A$35,0))),INDEX('Conversion Range'!$C$2:$C$35,MATCH(AE$1,'Conversion Range'!$A$2:$A$35,0))+(('Legend Attributes'!AE16-1)/19)*(INDEX('Conversion Range'!$D$2:$D$35,MATCH(AE$1,'Conversion Range'!$A$2:$A$35,0))-INDEX('Conversion Range'!$C$2:$C$35,MATCH(AE$1,'Conversion Range'!$A$2:$A$35,0)))),3))</f>
        <v>0</v>
      </c>
      <c r="AF16" s="15">
        <f>IF('Legend Attributes'!AF16=0,0,ROUND(IF(INDEX('Conversion Range'!$E$2:$E$35,MATCH(AF$1,'Conversion Range'!$A$2:$A$35,0))=1,INDEX('Conversion Range'!$D$2:$D$35,MATCH(AF$1,'Conversion Range'!$A$2:$A$35,0))-(('Legend Attributes'!AF16-1)/19)*(INDEX('Conversion Range'!$D$2:$D$35,MATCH(AF$1,'Conversion Range'!$A$2:$A$35,0))-INDEX('Conversion Range'!$C$2:$C$35,MATCH(AF$1,'Conversion Range'!$A$2:$A$35,0))),INDEX('Conversion Range'!$C$2:$C$35,MATCH(AF$1,'Conversion Range'!$A$2:$A$35,0))+(('Legend Attributes'!AF16-1)/19)*(INDEX('Conversion Range'!$D$2:$D$35,MATCH(AF$1,'Conversion Range'!$A$2:$A$35,0))-INDEX('Conversion Range'!$C$2:$C$35,MATCH(AF$1,'Conversion Range'!$A$2:$A$35,0)))),3))</f>
        <v>0</v>
      </c>
      <c r="AG16" s="15">
        <f>IF('Legend Attributes'!AG16=0,0,ROUND(IF(INDEX('Conversion Range'!$E$2:$E$35,MATCH(AG$1,'Conversion Range'!$A$2:$A$35,0))=1,INDEX('Conversion Range'!$D$2:$D$35,MATCH(AG$1,'Conversion Range'!$A$2:$A$35,0))-(('Legend Attributes'!AG16-1)/19)*(INDEX('Conversion Range'!$D$2:$D$35,MATCH(AG$1,'Conversion Range'!$A$2:$A$35,0))-INDEX('Conversion Range'!$C$2:$C$35,MATCH(AG$1,'Conversion Range'!$A$2:$A$35,0))),INDEX('Conversion Range'!$C$2:$C$35,MATCH(AG$1,'Conversion Range'!$A$2:$A$35,0))+(('Legend Attributes'!AG16-1)/19)*(INDEX('Conversion Range'!$D$2:$D$35,MATCH(AG$1,'Conversion Range'!$A$2:$A$35,0))-INDEX('Conversion Range'!$C$2:$C$35,MATCH(AG$1,'Conversion Range'!$A$2:$A$35,0)))),3))</f>
        <v>0.81599999999999995</v>
      </c>
      <c r="AH16" s="15">
        <f>IF('Legend Attributes'!AH16=0,0,ROUND(IF(INDEX('Conversion Range'!$E$2:$E$35,MATCH(AH$1,'Conversion Range'!$A$2:$A$35,0))=1,INDEX('Conversion Range'!$D$2:$D$35,MATCH(AH$1,'Conversion Range'!$A$2:$A$35,0))-(('Legend Attributes'!AH16-1)/19)*(INDEX('Conversion Range'!$D$2:$D$35,MATCH(AH$1,'Conversion Range'!$A$2:$A$35,0))-INDEX('Conversion Range'!$C$2:$C$35,MATCH(AH$1,'Conversion Range'!$A$2:$A$35,0))),INDEX('Conversion Range'!$C$2:$C$35,MATCH(AH$1,'Conversion Range'!$A$2:$A$35,0))+(('Legend Attributes'!AH16-1)/19)*(INDEX('Conversion Range'!$D$2:$D$35,MATCH(AH$1,'Conversion Range'!$A$2:$A$35,0))-INDEX('Conversion Range'!$C$2:$C$35,MATCH(AH$1,'Conversion Range'!$A$2:$A$35,0)))),3))</f>
        <v>0.17799999999999999</v>
      </c>
      <c r="AI16" s="15">
        <f>IF('Legend Attributes'!AI16=0,0,ROUND(IF(INDEX('Conversion Range'!$E$2:$E$35,MATCH(AI$1,'Conversion Range'!$A$2:$A$35,0))=1,INDEX('Conversion Range'!$D$2:$D$35,MATCH(AI$1,'Conversion Range'!$A$2:$A$35,0))-(('Legend Attributes'!AI16-1)/19)*(INDEX('Conversion Range'!$D$2:$D$35,MATCH(AI$1,'Conversion Range'!$A$2:$A$35,0))-INDEX('Conversion Range'!$C$2:$C$35,MATCH(AI$1,'Conversion Range'!$A$2:$A$35,0))),INDEX('Conversion Range'!$C$2:$C$35,MATCH(AI$1,'Conversion Range'!$A$2:$A$35,0))+(('Legend Attributes'!AI16-1)/19)*(INDEX('Conversion Range'!$D$2:$D$35,MATCH(AI$1,'Conversion Range'!$A$2:$A$35,0))-INDEX('Conversion Range'!$C$2:$C$35,MATCH(AI$1,'Conversion Range'!$A$2:$A$35,0)))),3))</f>
        <v>3.7999999999999999E-2</v>
      </c>
      <c r="AJ16" s="15">
        <f>IF('Legend Attributes'!AJ16=0,0,ROUND(IF(INDEX('Conversion Range'!$E$2:$E$35,MATCH(AJ$1,'Conversion Range'!$A$2:$A$35,0))=1,INDEX('Conversion Range'!$D$2:$D$35,MATCH(AJ$1,'Conversion Range'!$A$2:$A$35,0))-(('Legend Attributes'!AJ16-1)/19)*(INDEX('Conversion Range'!$D$2:$D$35,MATCH(AJ$1,'Conversion Range'!$A$2:$A$35,0))-INDEX('Conversion Range'!$C$2:$C$35,MATCH(AJ$1,'Conversion Range'!$A$2:$A$35,0))),INDEX('Conversion Range'!$C$2:$C$35,MATCH(AJ$1,'Conversion Range'!$A$2:$A$35,0))+(('Legend Attributes'!AJ16-1)/19)*(INDEX('Conversion Range'!$D$2:$D$35,MATCH(AJ$1,'Conversion Range'!$A$2:$A$35,0))-INDEX('Conversion Range'!$C$2:$C$35,MATCH(AJ$1,'Conversion Range'!$A$2:$A$35,0)))),3))</f>
        <v>8.0109999999999992</v>
      </c>
    </row>
    <row r="17" spans="1:36" x14ac:dyDescent="0.35">
      <c r="A17" s="14" t="str">
        <f>'Legend Attributes'!A17</f>
        <v>Gerard Piqué</v>
      </c>
      <c r="B17" s="15" t="str">
        <f>'Legend Attributes'!B17</f>
        <v>CB</v>
      </c>
      <c r="C17" s="15">
        <f>IF('Legend Attributes'!C17=0,0,ROUND(IF(INDEX('Conversion Range'!$E$2:$E$35,MATCH(C$1,'Conversion Range'!$A$2:$A$35,0))=1,INDEX('Conversion Range'!$D$2:$D$35,MATCH(C$1,'Conversion Range'!$A$2:$A$35,0))-(('Legend Attributes'!C17-1)/19)*(INDEX('Conversion Range'!$D$2:$D$35,MATCH(C$1,'Conversion Range'!$A$2:$A$35,0))-INDEX('Conversion Range'!$C$2:$C$35,MATCH(C$1,'Conversion Range'!$A$2:$A$35,0))),INDEX('Conversion Range'!$C$2:$C$35,MATCH(C$1,'Conversion Range'!$A$2:$A$35,0))+(('Legend Attributes'!C17-1)/19)*(INDEX('Conversion Range'!$D$2:$D$35,MATCH(C$1,'Conversion Range'!$A$2:$A$35,0))-INDEX('Conversion Range'!$C$2:$C$35,MATCH(C$1,'Conversion Range'!$A$2:$A$35,0)))),3))</f>
        <v>0.107</v>
      </c>
      <c r="D17" s="15">
        <f>IF('Legend Attributes'!D17=0,0,ROUND(IF(INDEX('Conversion Range'!$E$2:$E$35,MATCH(D$1,'Conversion Range'!$A$2:$A$35,0))=1,INDEX('Conversion Range'!$D$2:$D$35,MATCH(D$1,'Conversion Range'!$A$2:$A$35,0))-(('Legend Attributes'!D17-1)/19)*(INDEX('Conversion Range'!$D$2:$D$35,MATCH(D$1,'Conversion Range'!$A$2:$A$35,0))-INDEX('Conversion Range'!$C$2:$C$35,MATCH(D$1,'Conversion Range'!$A$2:$A$35,0))),INDEX('Conversion Range'!$C$2:$C$35,MATCH(D$1,'Conversion Range'!$A$2:$A$35,0))+(('Legend Attributes'!D17-1)/19)*(INDEX('Conversion Range'!$D$2:$D$35,MATCH(D$1,'Conversion Range'!$A$2:$A$35,0))-INDEX('Conversion Range'!$C$2:$C$35,MATCH(D$1,'Conversion Range'!$A$2:$A$35,0)))),3))</f>
        <v>9.7000000000000003E-2</v>
      </c>
      <c r="E17" s="15">
        <f>IF('Legend Attributes'!E17=0,0,ROUND(IF(INDEX('Conversion Range'!$E$2:$E$35,MATCH(E$1,'Conversion Range'!$A$2:$A$35,0))=1,INDEX('Conversion Range'!$D$2:$D$35,MATCH(E$1,'Conversion Range'!$A$2:$A$35,0))-(('Legend Attributes'!E17-1)/19)*(INDEX('Conversion Range'!$D$2:$D$35,MATCH(E$1,'Conversion Range'!$A$2:$A$35,0))-INDEX('Conversion Range'!$C$2:$C$35,MATCH(E$1,'Conversion Range'!$A$2:$A$35,0))),INDEX('Conversion Range'!$C$2:$C$35,MATCH(E$1,'Conversion Range'!$A$2:$A$35,0))+(('Legend Attributes'!E17-1)/19)*(INDEX('Conversion Range'!$D$2:$D$35,MATCH(E$1,'Conversion Range'!$A$2:$A$35,0))-INDEX('Conversion Range'!$C$2:$C$35,MATCH(E$1,'Conversion Range'!$A$2:$A$35,0)))),3))</f>
        <v>0.152</v>
      </c>
      <c r="F17" s="15">
        <f>IF('Legend Attributes'!F17=0,0,ROUND(IF(INDEX('Conversion Range'!$E$2:$E$35,MATCH(F$1,'Conversion Range'!$A$2:$A$35,0))=1,INDEX('Conversion Range'!$D$2:$D$35,MATCH(F$1,'Conversion Range'!$A$2:$A$35,0))-(('Legend Attributes'!F17-1)/19)*(INDEX('Conversion Range'!$D$2:$D$35,MATCH(F$1,'Conversion Range'!$A$2:$A$35,0))-INDEX('Conversion Range'!$C$2:$C$35,MATCH(F$1,'Conversion Range'!$A$2:$A$35,0))),INDEX('Conversion Range'!$C$2:$C$35,MATCH(F$1,'Conversion Range'!$A$2:$A$35,0))+(('Legend Attributes'!F17-1)/19)*(INDEX('Conversion Range'!$D$2:$D$35,MATCH(F$1,'Conversion Range'!$A$2:$A$35,0))-INDEX('Conversion Range'!$C$2:$C$35,MATCH(F$1,'Conversion Range'!$A$2:$A$35,0)))),3))</f>
        <v>0.55500000000000005</v>
      </c>
      <c r="G17" s="15">
        <f>IF('Legend Attributes'!G17=0,0,ROUND(IF(INDEX('Conversion Range'!$E$2:$E$35,MATCH(G$1,'Conversion Range'!$A$2:$A$35,0))=1,INDEX('Conversion Range'!$D$2:$D$35,MATCH(G$1,'Conversion Range'!$A$2:$A$35,0))-(('Legend Attributes'!G17-1)/19)*(INDEX('Conversion Range'!$D$2:$D$35,MATCH(G$1,'Conversion Range'!$A$2:$A$35,0))-INDEX('Conversion Range'!$C$2:$C$35,MATCH(G$1,'Conversion Range'!$A$2:$A$35,0))),INDEX('Conversion Range'!$C$2:$C$35,MATCH(G$1,'Conversion Range'!$A$2:$A$35,0))+(('Legend Attributes'!G17-1)/19)*(INDEX('Conversion Range'!$D$2:$D$35,MATCH(G$1,'Conversion Range'!$A$2:$A$35,0))-INDEX('Conversion Range'!$C$2:$C$35,MATCH(G$1,'Conversion Range'!$A$2:$A$35,0)))),3))</f>
        <v>0.19700000000000001</v>
      </c>
      <c r="H17" s="15">
        <f>IF('Legend Attributes'!H17=0,0,ROUND(IF(INDEX('Conversion Range'!$E$2:$E$35,MATCH(H$1,'Conversion Range'!$A$2:$A$35,0))=1,INDEX('Conversion Range'!$D$2:$D$35,MATCH(H$1,'Conversion Range'!$A$2:$A$35,0))-(('Legend Attributes'!H17-1)/19)*(INDEX('Conversion Range'!$D$2:$D$35,MATCH(H$1,'Conversion Range'!$A$2:$A$35,0))-INDEX('Conversion Range'!$C$2:$C$35,MATCH(H$1,'Conversion Range'!$A$2:$A$35,0))),INDEX('Conversion Range'!$C$2:$C$35,MATCH(H$1,'Conversion Range'!$A$2:$A$35,0))+(('Legend Attributes'!H17-1)/19)*(INDEX('Conversion Range'!$D$2:$D$35,MATCH(H$1,'Conversion Range'!$A$2:$A$35,0))-INDEX('Conversion Range'!$C$2:$C$35,MATCH(H$1,'Conversion Range'!$A$2:$A$35,0)))),3))</f>
        <v>0.105</v>
      </c>
      <c r="I17" s="15">
        <f>IF('Legend Attributes'!I17=0,0,ROUND(IF(INDEX('Conversion Range'!$E$2:$E$35,MATCH(I$1,'Conversion Range'!$A$2:$A$35,0))=1,INDEX('Conversion Range'!$D$2:$D$35,MATCH(I$1,'Conversion Range'!$A$2:$A$35,0))-(('Legend Attributes'!I17-1)/19)*(INDEX('Conversion Range'!$D$2:$D$35,MATCH(I$1,'Conversion Range'!$A$2:$A$35,0))-INDEX('Conversion Range'!$C$2:$C$35,MATCH(I$1,'Conversion Range'!$A$2:$A$35,0))),INDEX('Conversion Range'!$C$2:$C$35,MATCH(I$1,'Conversion Range'!$A$2:$A$35,0))+(('Legend Attributes'!I17-1)/19)*(INDEX('Conversion Range'!$D$2:$D$35,MATCH(I$1,'Conversion Range'!$A$2:$A$35,0))-INDEX('Conversion Range'!$C$2:$C$35,MATCH(I$1,'Conversion Range'!$A$2:$A$35,0)))),3))</f>
        <v>1.153</v>
      </c>
      <c r="J17" s="15">
        <f>IF('Legend Attributes'!J17=0,0,ROUND(IF(INDEX('Conversion Range'!$E$2:$E$35,MATCH(J$1,'Conversion Range'!$A$2:$A$35,0))=1,INDEX('Conversion Range'!$D$2:$D$35,MATCH(J$1,'Conversion Range'!$A$2:$A$35,0))-(('Legend Attributes'!J17-1)/19)*(INDEX('Conversion Range'!$D$2:$D$35,MATCH(J$1,'Conversion Range'!$A$2:$A$35,0))-INDEX('Conversion Range'!$C$2:$C$35,MATCH(J$1,'Conversion Range'!$A$2:$A$35,0))),INDEX('Conversion Range'!$C$2:$C$35,MATCH(J$1,'Conversion Range'!$A$2:$A$35,0))+(('Legend Attributes'!J17-1)/19)*(INDEX('Conversion Range'!$D$2:$D$35,MATCH(J$1,'Conversion Range'!$A$2:$A$35,0))-INDEX('Conversion Range'!$C$2:$C$35,MATCH(J$1,'Conversion Range'!$A$2:$A$35,0)))),3))</f>
        <v>1.6679999999999999</v>
      </c>
      <c r="K17" s="15">
        <f>IF('Legend Attributes'!K17=0,0,ROUND(IF(INDEX('Conversion Range'!$E$2:$E$35,MATCH(K$1,'Conversion Range'!$A$2:$A$35,0))=1,INDEX('Conversion Range'!$D$2:$D$35,MATCH(K$1,'Conversion Range'!$A$2:$A$35,0))-(('Legend Attributes'!K17-1)/19)*(INDEX('Conversion Range'!$D$2:$D$35,MATCH(K$1,'Conversion Range'!$A$2:$A$35,0))-INDEX('Conversion Range'!$C$2:$C$35,MATCH(K$1,'Conversion Range'!$A$2:$A$35,0))),INDEX('Conversion Range'!$C$2:$C$35,MATCH(K$1,'Conversion Range'!$A$2:$A$35,0))+(('Legend Attributes'!K17-1)/19)*(INDEX('Conversion Range'!$D$2:$D$35,MATCH(K$1,'Conversion Range'!$A$2:$A$35,0))-INDEX('Conversion Range'!$C$2:$C$35,MATCH(K$1,'Conversion Range'!$A$2:$A$35,0)))),3))</f>
        <v>1.4890000000000001</v>
      </c>
      <c r="L17" s="15">
        <f>IF('Legend Attributes'!L17=0,0,ROUND(IF(INDEX('Conversion Range'!$E$2:$E$35,MATCH(L$1,'Conversion Range'!$A$2:$A$35,0))=1,INDEX('Conversion Range'!$D$2:$D$35,MATCH(L$1,'Conversion Range'!$A$2:$A$35,0))-(('Legend Attributes'!L17-1)/19)*(INDEX('Conversion Range'!$D$2:$D$35,MATCH(L$1,'Conversion Range'!$A$2:$A$35,0))-INDEX('Conversion Range'!$C$2:$C$35,MATCH(L$1,'Conversion Range'!$A$2:$A$35,0))),INDEX('Conversion Range'!$C$2:$C$35,MATCH(L$1,'Conversion Range'!$A$2:$A$35,0))+(('Legend Attributes'!L17-1)/19)*(INDEX('Conversion Range'!$D$2:$D$35,MATCH(L$1,'Conversion Range'!$A$2:$A$35,0))-INDEX('Conversion Range'!$C$2:$C$35,MATCH(L$1,'Conversion Range'!$A$2:$A$35,0)))),3))</f>
        <v>3.589</v>
      </c>
      <c r="M17" s="15">
        <f>IF('Legend Attributes'!M17=0,0,ROUND(IF(INDEX('Conversion Range'!$E$2:$E$35,MATCH(M$1,'Conversion Range'!$A$2:$A$35,0))=1,INDEX('Conversion Range'!$D$2:$D$35,MATCH(M$1,'Conversion Range'!$A$2:$A$35,0))-(('Legend Attributes'!M17-1)/19)*(INDEX('Conversion Range'!$D$2:$D$35,MATCH(M$1,'Conversion Range'!$A$2:$A$35,0))-INDEX('Conversion Range'!$C$2:$C$35,MATCH(M$1,'Conversion Range'!$A$2:$A$35,0))),INDEX('Conversion Range'!$C$2:$C$35,MATCH(M$1,'Conversion Range'!$A$2:$A$35,0))+(('Legend Attributes'!M17-1)/19)*(INDEX('Conversion Range'!$D$2:$D$35,MATCH(M$1,'Conversion Range'!$A$2:$A$35,0))-INDEX('Conversion Range'!$C$2:$C$35,MATCH(M$1,'Conversion Range'!$A$2:$A$35,0)))),3))</f>
        <v>0.42099999999999999</v>
      </c>
      <c r="N17" s="15">
        <f>IF('Legend Attributes'!N17=0,0,ROUND(IF(INDEX('Conversion Range'!$E$2:$E$35,MATCH(N$1,'Conversion Range'!$A$2:$A$35,0))=1,INDEX('Conversion Range'!$D$2:$D$35,MATCH(N$1,'Conversion Range'!$A$2:$A$35,0))-(('Legend Attributes'!N17-1)/19)*(INDEX('Conversion Range'!$D$2:$D$35,MATCH(N$1,'Conversion Range'!$A$2:$A$35,0))-INDEX('Conversion Range'!$C$2:$C$35,MATCH(N$1,'Conversion Range'!$A$2:$A$35,0))),INDEX('Conversion Range'!$C$2:$C$35,MATCH(N$1,'Conversion Range'!$A$2:$A$35,0))+(('Legend Attributes'!N17-1)/19)*(INDEX('Conversion Range'!$D$2:$D$35,MATCH(N$1,'Conversion Range'!$A$2:$A$35,0))-INDEX('Conversion Range'!$C$2:$C$35,MATCH(N$1,'Conversion Range'!$A$2:$A$35,0)))),3))</f>
        <v>6.3419999999999996</v>
      </c>
      <c r="O17" s="15">
        <f>IF('Legend Attributes'!O17=0,0,ROUND(IF(INDEX('Conversion Range'!$E$2:$E$35,MATCH(O$1,'Conversion Range'!$A$2:$A$35,0))=1,INDEX('Conversion Range'!$D$2:$D$35,MATCH(O$1,'Conversion Range'!$A$2:$A$35,0))-(('Legend Attributes'!O17-1)/19)*(INDEX('Conversion Range'!$D$2:$D$35,MATCH(O$1,'Conversion Range'!$A$2:$A$35,0))-INDEX('Conversion Range'!$C$2:$C$35,MATCH(O$1,'Conversion Range'!$A$2:$A$35,0))),INDEX('Conversion Range'!$C$2:$C$35,MATCH(O$1,'Conversion Range'!$A$2:$A$35,0))+(('Legend Attributes'!O17-1)/19)*(INDEX('Conversion Range'!$D$2:$D$35,MATCH(O$1,'Conversion Range'!$A$2:$A$35,0))-INDEX('Conversion Range'!$C$2:$C$35,MATCH(O$1,'Conversion Range'!$A$2:$A$35,0)))),3))</f>
        <v>0.753</v>
      </c>
      <c r="P17" s="15">
        <f>IF('Legend Attributes'!P17=0,0,ROUND(IF(INDEX('Conversion Range'!$E$2:$E$35,MATCH(P$1,'Conversion Range'!$A$2:$A$35,0))=1,INDEX('Conversion Range'!$D$2:$D$35,MATCH(P$1,'Conversion Range'!$A$2:$A$35,0))-(('Legend Attributes'!P17-1)/19)*(INDEX('Conversion Range'!$D$2:$D$35,MATCH(P$1,'Conversion Range'!$A$2:$A$35,0))-INDEX('Conversion Range'!$C$2:$C$35,MATCH(P$1,'Conversion Range'!$A$2:$A$35,0))),INDEX('Conversion Range'!$C$2:$C$35,MATCH(P$1,'Conversion Range'!$A$2:$A$35,0))+(('Legend Attributes'!P17-1)/19)*(INDEX('Conversion Range'!$D$2:$D$35,MATCH(P$1,'Conversion Range'!$A$2:$A$35,0))-INDEX('Conversion Range'!$C$2:$C$35,MATCH(P$1,'Conversion Range'!$A$2:$A$35,0)))),3))</f>
        <v>58.947000000000003</v>
      </c>
      <c r="Q17" s="15">
        <f>IF('Legend Attributes'!Q17=0,0,ROUND(IF(INDEX('Conversion Range'!$E$2:$E$35,MATCH(Q$1,'Conversion Range'!$A$2:$A$35,0))=1,INDEX('Conversion Range'!$D$2:$D$35,MATCH(Q$1,'Conversion Range'!$A$2:$A$35,0))-(('Legend Attributes'!Q17-1)/19)*(INDEX('Conversion Range'!$D$2:$D$35,MATCH(Q$1,'Conversion Range'!$A$2:$A$35,0))-INDEX('Conversion Range'!$C$2:$C$35,MATCH(Q$1,'Conversion Range'!$A$2:$A$35,0))),INDEX('Conversion Range'!$C$2:$C$35,MATCH(Q$1,'Conversion Range'!$A$2:$A$35,0))+(('Legend Attributes'!Q17-1)/19)*(INDEX('Conversion Range'!$D$2:$D$35,MATCH(Q$1,'Conversion Range'!$A$2:$A$35,0))-INDEX('Conversion Range'!$C$2:$C$35,MATCH(Q$1,'Conversion Range'!$A$2:$A$35,0)))),3))</f>
        <v>54.104999999999997</v>
      </c>
      <c r="R17" s="15">
        <f>IF('Legend Attributes'!R17=0,0,ROUND(IF(INDEX('Conversion Range'!$E$2:$E$35,MATCH(R$1,'Conversion Range'!$A$2:$A$35,0))=1,INDEX('Conversion Range'!$D$2:$D$35,MATCH(R$1,'Conversion Range'!$A$2:$A$35,0))-(('Legend Attributes'!R17-1)/19)*(INDEX('Conversion Range'!$D$2:$D$35,MATCH(R$1,'Conversion Range'!$A$2:$A$35,0))-INDEX('Conversion Range'!$C$2:$C$35,MATCH(R$1,'Conversion Range'!$A$2:$A$35,0))),INDEX('Conversion Range'!$C$2:$C$35,MATCH(R$1,'Conversion Range'!$A$2:$A$35,0))+(('Legend Attributes'!R17-1)/19)*(INDEX('Conversion Range'!$D$2:$D$35,MATCH(R$1,'Conversion Range'!$A$2:$A$35,0))-INDEX('Conversion Range'!$C$2:$C$35,MATCH(R$1,'Conversion Range'!$A$2:$A$35,0)))),3))</f>
        <v>90.789000000000001</v>
      </c>
      <c r="S17" s="15">
        <f>IF('Legend Attributes'!S17=0,0,ROUND(IF(INDEX('Conversion Range'!$E$2:$E$35,MATCH(S$1,'Conversion Range'!$A$2:$A$35,0))=1,INDEX('Conversion Range'!$D$2:$D$35,MATCH(S$1,'Conversion Range'!$A$2:$A$35,0))-(('Legend Attributes'!S17-1)/19)*(INDEX('Conversion Range'!$D$2:$D$35,MATCH(S$1,'Conversion Range'!$A$2:$A$35,0))-INDEX('Conversion Range'!$C$2:$C$35,MATCH(S$1,'Conversion Range'!$A$2:$A$35,0))),INDEX('Conversion Range'!$C$2:$C$35,MATCH(S$1,'Conversion Range'!$A$2:$A$35,0))+(('Legend Attributes'!S17-1)/19)*(INDEX('Conversion Range'!$D$2:$D$35,MATCH(S$1,'Conversion Range'!$A$2:$A$35,0))-INDEX('Conversion Range'!$C$2:$C$35,MATCH(S$1,'Conversion Range'!$A$2:$A$35,0)))),3))</f>
        <v>6.774</v>
      </c>
      <c r="T17" s="15">
        <f>IF('Legend Attributes'!T17=0,0,ROUND(IF(INDEX('Conversion Range'!$E$2:$E$35,MATCH(T$1,'Conversion Range'!$A$2:$A$35,0))=1,INDEX('Conversion Range'!$D$2:$D$35,MATCH(T$1,'Conversion Range'!$A$2:$A$35,0))-(('Legend Attributes'!T17-1)/19)*(INDEX('Conversion Range'!$D$2:$D$35,MATCH(T$1,'Conversion Range'!$A$2:$A$35,0))-INDEX('Conversion Range'!$C$2:$C$35,MATCH(T$1,'Conversion Range'!$A$2:$A$35,0))),INDEX('Conversion Range'!$C$2:$C$35,MATCH(T$1,'Conversion Range'!$A$2:$A$35,0))+(('Legend Attributes'!T17-1)/19)*(INDEX('Conversion Range'!$D$2:$D$35,MATCH(T$1,'Conversion Range'!$A$2:$A$35,0))-INDEX('Conversion Range'!$C$2:$C$35,MATCH(T$1,'Conversion Range'!$A$2:$A$35,0)))),3))</f>
        <v>63.473999999999997</v>
      </c>
      <c r="U17" s="15">
        <f>IF('Legend Attributes'!U17=0,0,ROUND(IF(INDEX('Conversion Range'!$E$2:$E$35,MATCH(U$1,'Conversion Range'!$A$2:$A$35,0))=1,INDEX('Conversion Range'!$D$2:$D$35,MATCH(U$1,'Conversion Range'!$A$2:$A$35,0))-(('Legend Attributes'!U17-1)/19)*(INDEX('Conversion Range'!$D$2:$D$35,MATCH(U$1,'Conversion Range'!$A$2:$A$35,0))-INDEX('Conversion Range'!$C$2:$C$35,MATCH(U$1,'Conversion Range'!$A$2:$A$35,0))),INDEX('Conversion Range'!$C$2:$C$35,MATCH(U$1,'Conversion Range'!$A$2:$A$35,0))+(('Legend Attributes'!U17-1)/19)*(INDEX('Conversion Range'!$D$2:$D$35,MATCH(U$1,'Conversion Range'!$A$2:$A$35,0))-INDEX('Conversion Range'!$C$2:$C$35,MATCH(U$1,'Conversion Range'!$A$2:$A$35,0)))),3))</f>
        <v>3.5840000000000001</v>
      </c>
      <c r="V17" s="15">
        <f>IF('Legend Attributes'!V17=0,0,ROUND(IF(INDEX('Conversion Range'!$E$2:$E$35,MATCH(V$1,'Conversion Range'!$A$2:$A$35,0))=1,INDEX('Conversion Range'!$D$2:$D$35,MATCH(V$1,'Conversion Range'!$A$2:$A$35,0))-(('Legend Attributes'!V17-1)/19)*(INDEX('Conversion Range'!$D$2:$D$35,MATCH(V$1,'Conversion Range'!$A$2:$A$35,0))-INDEX('Conversion Range'!$C$2:$C$35,MATCH(V$1,'Conversion Range'!$A$2:$A$35,0))),INDEX('Conversion Range'!$C$2:$C$35,MATCH(V$1,'Conversion Range'!$A$2:$A$35,0))+(('Legend Attributes'!V17-1)/19)*(INDEX('Conversion Range'!$D$2:$D$35,MATCH(V$1,'Conversion Range'!$A$2:$A$35,0))-INDEX('Conversion Range'!$C$2:$C$35,MATCH(V$1,'Conversion Range'!$A$2:$A$35,0)))),3))</f>
        <v>58.420999999999999</v>
      </c>
      <c r="W17" s="15">
        <f>IF('Legend Attributes'!W17=0,0,ROUND(IF(INDEX('Conversion Range'!$E$2:$E$35,MATCH(W$1,'Conversion Range'!$A$2:$A$35,0))=1,INDEX('Conversion Range'!$D$2:$D$35,MATCH(W$1,'Conversion Range'!$A$2:$A$35,0))-(('Legend Attributes'!W17-1)/19)*(INDEX('Conversion Range'!$D$2:$D$35,MATCH(W$1,'Conversion Range'!$A$2:$A$35,0))-INDEX('Conversion Range'!$C$2:$C$35,MATCH(W$1,'Conversion Range'!$A$2:$A$35,0))),INDEX('Conversion Range'!$C$2:$C$35,MATCH(W$1,'Conversion Range'!$A$2:$A$35,0))+(('Legend Attributes'!W17-1)/19)*(INDEX('Conversion Range'!$D$2:$D$35,MATCH(W$1,'Conversion Range'!$A$2:$A$35,0))-INDEX('Conversion Range'!$C$2:$C$35,MATCH(W$1,'Conversion Range'!$A$2:$A$35,0)))),3))</f>
        <v>7.9000000000000001E-2</v>
      </c>
      <c r="X17" s="15">
        <f>IF('Legend Attributes'!X17=0,0,ROUND(IF(INDEX('Conversion Range'!$E$2:$E$35,MATCH(X$1,'Conversion Range'!$A$2:$A$35,0))=1,INDEX('Conversion Range'!$D$2:$D$35,MATCH(X$1,'Conversion Range'!$A$2:$A$35,0))-(('Legend Attributes'!X17-1)/19)*(INDEX('Conversion Range'!$D$2:$D$35,MATCH(X$1,'Conversion Range'!$A$2:$A$35,0))-INDEX('Conversion Range'!$C$2:$C$35,MATCH(X$1,'Conversion Range'!$A$2:$A$35,0))),INDEX('Conversion Range'!$C$2:$C$35,MATCH(X$1,'Conversion Range'!$A$2:$A$35,0))+(('Legend Attributes'!X17-1)/19)*(INDEX('Conversion Range'!$D$2:$D$35,MATCH(X$1,'Conversion Range'!$A$2:$A$35,0))-INDEX('Conversion Range'!$C$2:$C$35,MATCH(X$1,'Conversion Range'!$A$2:$A$35,0)))),3))</f>
        <v>0.23200000000000001</v>
      </c>
      <c r="Y17" s="15">
        <f>IF('Legend Attributes'!Y17=0,0,ROUND(IF(INDEX('Conversion Range'!$E$2:$E$35,MATCH(Y$1,'Conversion Range'!$A$2:$A$35,0))=1,INDEX('Conversion Range'!$D$2:$D$35,MATCH(Y$1,'Conversion Range'!$A$2:$A$35,0))-(('Legend Attributes'!Y17-1)/19)*(INDEX('Conversion Range'!$D$2:$D$35,MATCH(Y$1,'Conversion Range'!$A$2:$A$35,0))-INDEX('Conversion Range'!$C$2:$C$35,MATCH(Y$1,'Conversion Range'!$A$2:$A$35,0))),INDEX('Conversion Range'!$C$2:$C$35,MATCH(Y$1,'Conversion Range'!$A$2:$A$35,0))+(('Legend Attributes'!Y17-1)/19)*(INDEX('Conversion Range'!$D$2:$D$35,MATCH(Y$1,'Conversion Range'!$A$2:$A$35,0))-INDEX('Conversion Range'!$C$2:$C$35,MATCH(Y$1,'Conversion Range'!$A$2:$A$35,0)))),3))</f>
        <v>0.189</v>
      </c>
      <c r="Z17" s="15">
        <f>IF('Legend Attributes'!Z17=0,0,ROUND(IF(INDEX('Conversion Range'!$E$2:$E$35,MATCH(Z$1,'Conversion Range'!$A$2:$A$35,0))=1,INDEX('Conversion Range'!$D$2:$D$35,MATCH(Z$1,'Conversion Range'!$A$2:$A$35,0))-(('Legend Attributes'!Z17-1)/19)*(INDEX('Conversion Range'!$D$2:$D$35,MATCH(Z$1,'Conversion Range'!$A$2:$A$35,0))-INDEX('Conversion Range'!$C$2:$C$35,MATCH(Z$1,'Conversion Range'!$A$2:$A$35,0))),INDEX('Conversion Range'!$C$2:$C$35,MATCH(Z$1,'Conversion Range'!$A$2:$A$35,0))+(('Legend Attributes'!Z17-1)/19)*(INDEX('Conversion Range'!$D$2:$D$35,MATCH(Z$1,'Conversion Range'!$A$2:$A$35,0))-INDEX('Conversion Range'!$C$2:$C$35,MATCH(Z$1,'Conversion Range'!$A$2:$A$35,0)))),3))</f>
        <v>7.4470000000000001</v>
      </c>
      <c r="AA17" s="15">
        <f>IF('Legend Attributes'!AA17=0,0,ROUND(IF(INDEX('Conversion Range'!$E$2:$E$35,MATCH(AA$1,'Conversion Range'!$A$2:$A$35,0))=1,INDEX('Conversion Range'!$D$2:$D$35,MATCH(AA$1,'Conversion Range'!$A$2:$A$35,0))-(('Legend Attributes'!AA17-1)/19)*(INDEX('Conversion Range'!$D$2:$D$35,MATCH(AA$1,'Conversion Range'!$A$2:$A$35,0))-INDEX('Conversion Range'!$C$2:$C$35,MATCH(AA$1,'Conversion Range'!$A$2:$A$35,0))),INDEX('Conversion Range'!$C$2:$C$35,MATCH(AA$1,'Conversion Range'!$A$2:$A$35,0))+(('Legend Attributes'!AA17-1)/19)*(INDEX('Conversion Range'!$D$2:$D$35,MATCH(AA$1,'Conversion Range'!$A$2:$A$35,0))-INDEX('Conversion Range'!$C$2:$C$35,MATCH(AA$1,'Conversion Range'!$A$2:$A$35,0)))),3))</f>
        <v>0</v>
      </c>
      <c r="AB17" s="15">
        <f>IF('Legend Attributes'!AB17=0,0,ROUND(IF(INDEX('Conversion Range'!$E$2:$E$35,MATCH(AB$1,'Conversion Range'!$A$2:$A$35,0))=1,INDEX('Conversion Range'!$D$2:$D$35,MATCH(AB$1,'Conversion Range'!$A$2:$A$35,0))-(('Legend Attributes'!AB17-1)/19)*(INDEX('Conversion Range'!$D$2:$D$35,MATCH(AB$1,'Conversion Range'!$A$2:$A$35,0))-INDEX('Conversion Range'!$C$2:$C$35,MATCH(AB$1,'Conversion Range'!$A$2:$A$35,0))),INDEX('Conversion Range'!$C$2:$C$35,MATCH(AB$1,'Conversion Range'!$A$2:$A$35,0))+(('Legend Attributes'!AB17-1)/19)*(INDEX('Conversion Range'!$D$2:$D$35,MATCH(AB$1,'Conversion Range'!$A$2:$A$35,0))-INDEX('Conversion Range'!$C$2:$C$35,MATCH(AB$1,'Conversion Range'!$A$2:$A$35,0)))),3))</f>
        <v>0.47599999999999998</v>
      </c>
      <c r="AC17" s="15">
        <f>IF('Legend Attributes'!AC17=0,0,ROUND(IF(INDEX('Conversion Range'!$E$2:$E$35,MATCH(AC$1,'Conversion Range'!$A$2:$A$35,0))=1,INDEX('Conversion Range'!$D$2:$D$35,MATCH(AC$1,'Conversion Range'!$A$2:$A$35,0))-(('Legend Attributes'!AC17-1)/19)*(INDEX('Conversion Range'!$D$2:$D$35,MATCH(AC$1,'Conversion Range'!$A$2:$A$35,0))-INDEX('Conversion Range'!$C$2:$C$35,MATCH(AC$1,'Conversion Range'!$A$2:$A$35,0))),INDEX('Conversion Range'!$C$2:$C$35,MATCH(AC$1,'Conversion Range'!$A$2:$A$35,0))+(('Legend Attributes'!AC17-1)/19)*(INDEX('Conversion Range'!$D$2:$D$35,MATCH(AC$1,'Conversion Range'!$A$2:$A$35,0))-INDEX('Conversion Range'!$C$2:$C$35,MATCH(AC$1,'Conversion Range'!$A$2:$A$35,0)))),3))</f>
        <v>0.41299999999999998</v>
      </c>
      <c r="AD17" s="15">
        <f>IF('Legend Attributes'!AD17=0,0,ROUND(IF(INDEX('Conversion Range'!$E$2:$E$35,MATCH(AD$1,'Conversion Range'!$A$2:$A$35,0))=1,INDEX('Conversion Range'!$D$2:$D$35,MATCH(AD$1,'Conversion Range'!$A$2:$A$35,0))-(('Legend Attributes'!AD17-1)/19)*(INDEX('Conversion Range'!$D$2:$D$35,MATCH(AD$1,'Conversion Range'!$A$2:$A$35,0))-INDEX('Conversion Range'!$C$2:$C$35,MATCH(AD$1,'Conversion Range'!$A$2:$A$35,0))),INDEX('Conversion Range'!$C$2:$C$35,MATCH(AD$1,'Conversion Range'!$A$2:$A$35,0))+(('Legend Attributes'!AD17-1)/19)*(INDEX('Conversion Range'!$D$2:$D$35,MATCH(AD$1,'Conversion Range'!$A$2:$A$35,0))-INDEX('Conversion Range'!$C$2:$C$35,MATCH(AD$1,'Conversion Range'!$A$2:$A$35,0)))),3))</f>
        <v>0</v>
      </c>
      <c r="AE17" s="15">
        <f>IF('Legend Attributes'!AE17=0,0,ROUND(IF(INDEX('Conversion Range'!$E$2:$E$35,MATCH(AE$1,'Conversion Range'!$A$2:$A$35,0))=1,INDEX('Conversion Range'!$D$2:$D$35,MATCH(AE$1,'Conversion Range'!$A$2:$A$35,0))-(('Legend Attributes'!AE17-1)/19)*(INDEX('Conversion Range'!$D$2:$D$35,MATCH(AE$1,'Conversion Range'!$A$2:$A$35,0))-INDEX('Conversion Range'!$C$2:$C$35,MATCH(AE$1,'Conversion Range'!$A$2:$A$35,0))),INDEX('Conversion Range'!$C$2:$C$35,MATCH(AE$1,'Conversion Range'!$A$2:$A$35,0))+(('Legend Attributes'!AE17-1)/19)*(INDEX('Conversion Range'!$D$2:$D$35,MATCH(AE$1,'Conversion Range'!$A$2:$A$35,0))-INDEX('Conversion Range'!$C$2:$C$35,MATCH(AE$1,'Conversion Range'!$A$2:$A$35,0)))),3))</f>
        <v>0</v>
      </c>
      <c r="AF17" s="15">
        <f>IF('Legend Attributes'!AF17=0,0,ROUND(IF(INDEX('Conversion Range'!$E$2:$E$35,MATCH(AF$1,'Conversion Range'!$A$2:$A$35,0))=1,INDEX('Conversion Range'!$D$2:$D$35,MATCH(AF$1,'Conversion Range'!$A$2:$A$35,0))-(('Legend Attributes'!AF17-1)/19)*(INDEX('Conversion Range'!$D$2:$D$35,MATCH(AF$1,'Conversion Range'!$A$2:$A$35,0))-INDEX('Conversion Range'!$C$2:$C$35,MATCH(AF$1,'Conversion Range'!$A$2:$A$35,0))),INDEX('Conversion Range'!$C$2:$C$35,MATCH(AF$1,'Conversion Range'!$A$2:$A$35,0))+(('Legend Attributes'!AF17-1)/19)*(INDEX('Conversion Range'!$D$2:$D$35,MATCH(AF$1,'Conversion Range'!$A$2:$A$35,0))-INDEX('Conversion Range'!$C$2:$C$35,MATCH(AF$1,'Conversion Range'!$A$2:$A$35,0)))),3))</f>
        <v>0</v>
      </c>
      <c r="AG17" s="15">
        <f>IF('Legend Attributes'!AG17=0,0,ROUND(IF(INDEX('Conversion Range'!$E$2:$E$35,MATCH(AG$1,'Conversion Range'!$A$2:$A$35,0))=1,INDEX('Conversion Range'!$D$2:$D$35,MATCH(AG$1,'Conversion Range'!$A$2:$A$35,0))-(('Legend Attributes'!AG17-1)/19)*(INDEX('Conversion Range'!$D$2:$D$35,MATCH(AG$1,'Conversion Range'!$A$2:$A$35,0))-INDEX('Conversion Range'!$C$2:$C$35,MATCH(AG$1,'Conversion Range'!$A$2:$A$35,0))),INDEX('Conversion Range'!$C$2:$C$35,MATCH(AG$1,'Conversion Range'!$A$2:$A$35,0))+(('Legend Attributes'!AG17-1)/19)*(INDEX('Conversion Range'!$D$2:$D$35,MATCH(AG$1,'Conversion Range'!$A$2:$A$35,0))-INDEX('Conversion Range'!$C$2:$C$35,MATCH(AG$1,'Conversion Range'!$A$2:$A$35,0)))),3))</f>
        <v>0.73699999999999999</v>
      </c>
      <c r="AH17" s="15">
        <f>IF('Legend Attributes'!AH17=0,0,ROUND(IF(INDEX('Conversion Range'!$E$2:$E$35,MATCH(AH$1,'Conversion Range'!$A$2:$A$35,0))=1,INDEX('Conversion Range'!$D$2:$D$35,MATCH(AH$1,'Conversion Range'!$A$2:$A$35,0))-(('Legend Attributes'!AH17-1)/19)*(INDEX('Conversion Range'!$D$2:$D$35,MATCH(AH$1,'Conversion Range'!$A$2:$A$35,0))-INDEX('Conversion Range'!$C$2:$C$35,MATCH(AH$1,'Conversion Range'!$A$2:$A$35,0))),INDEX('Conversion Range'!$C$2:$C$35,MATCH(AH$1,'Conversion Range'!$A$2:$A$35,0))+(('Legend Attributes'!AH17-1)/19)*(INDEX('Conversion Range'!$D$2:$D$35,MATCH(AH$1,'Conversion Range'!$A$2:$A$35,0))-INDEX('Conversion Range'!$C$2:$C$35,MATCH(AH$1,'Conversion Range'!$A$2:$A$35,0)))),3))</f>
        <v>0.29199999999999998</v>
      </c>
      <c r="AI17" s="15">
        <f>IF('Legend Attributes'!AI17=0,0,ROUND(IF(INDEX('Conversion Range'!$E$2:$E$35,MATCH(AI$1,'Conversion Range'!$A$2:$A$35,0))=1,INDEX('Conversion Range'!$D$2:$D$35,MATCH(AI$1,'Conversion Range'!$A$2:$A$35,0))-(('Legend Attributes'!AI17-1)/19)*(INDEX('Conversion Range'!$D$2:$D$35,MATCH(AI$1,'Conversion Range'!$A$2:$A$35,0))-INDEX('Conversion Range'!$C$2:$C$35,MATCH(AI$1,'Conversion Range'!$A$2:$A$35,0))),INDEX('Conversion Range'!$C$2:$C$35,MATCH(AI$1,'Conversion Range'!$A$2:$A$35,0))+(('Legend Attributes'!AI17-1)/19)*(INDEX('Conversion Range'!$D$2:$D$35,MATCH(AI$1,'Conversion Range'!$A$2:$A$35,0))-INDEX('Conversion Range'!$C$2:$C$35,MATCH(AI$1,'Conversion Range'!$A$2:$A$35,0)))),3))</f>
        <v>7.5999999999999998E-2</v>
      </c>
      <c r="AJ17" s="15">
        <f>IF('Legend Attributes'!AJ17=0,0,ROUND(IF(INDEX('Conversion Range'!$E$2:$E$35,MATCH(AJ$1,'Conversion Range'!$A$2:$A$35,0))=1,INDEX('Conversion Range'!$D$2:$D$35,MATCH(AJ$1,'Conversion Range'!$A$2:$A$35,0))-(('Legend Attributes'!AJ17-1)/19)*(INDEX('Conversion Range'!$D$2:$D$35,MATCH(AJ$1,'Conversion Range'!$A$2:$A$35,0))-INDEX('Conversion Range'!$C$2:$C$35,MATCH(AJ$1,'Conversion Range'!$A$2:$A$35,0))),INDEX('Conversion Range'!$C$2:$C$35,MATCH(AJ$1,'Conversion Range'!$A$2:$A$35,0))+(('Legend Attributes'!AJ17-1)/19)*(INDEX('Conversion Range'!$D$2:$D$35,MATCH(AJ$1,'Conversion Range'!$A$2:$A$35,0))-INDEX('Conversion Range'!$C$2:$C$35,MATCH(AJ$1,'Conversion Range'!$A$2:$A$35,0)))),3))</f>
        <v>7.8209999999999997</v>
      </c>
    </row>
    <row r="18" spans="1:36" x14ac:dyDescent="0.35">
      <c r="A18" s="14" t="str">
        <f>'Legend Attributes'!A18</f>
        <v>John Terry</v>
      </c>
      <c r="B18" s="15" t="str">
        <f>'Legend Attributes'!B18</f>
        <v>CB</v>
      </c>
      <c r="C18" s="15">
        <f>IF('Legend Attributes'!C18=0,0,ROUND(IF(INDEX('Conversion Range'!$E$2:$E$35,MATCH(C$1,'Conversion Range'!$A$2:$A$35,0))=1,INDEX('Conversion Range'!$D$2:$D$35,MATCH(C$1,'Conversion Range'!$A$2:$A$35,0))-(('Legend Attributes'!C18-1)/19)*(INDEX('Conversion Range'!$D$2:$D$35,MATCH(C$1,'Conversion Range'!$A$2:$A$35,0))-INDEX('Conversion Range'!$C$2:$C$35,MATCH(C$1,'Conversion Range'!$A$2:$A$35,0))),INDEX('Conversion Range'!$C$2:$C$35,MATCH(C$1,'Conversion Range'!$A$2:$A$35,0))+(('Legend Attributes'!C18-1)/19)*(INDEX('Conversion Range'!$D$2:$D$35,MATCH(C$1,'Conversion Range'!$A$2:$A$35,0))-INDEX('Conversion Range'!$C$2:$C$35,MATCH(C$1,'Conversion Range'!$A$2:$A$35,0)))),3))</f>
        <v>6.4000000000000001E-2</v>
      </c>
      <c r="D18" s="15">
        <f>IF('Legend Attributes'!D18=0,0,ROUND(IF(INDEX('Conversion Range'!$E$2:$E$35,MATCH(D$1,'Conversion Range'!$A$2:$A$35,0))=1,INDEX('Conversion Range'!$D$2:$D$35,MATCH(D$1,'Conversion Range'!$A$2:$A$35,0))-(('Legend Attributes'!D18-1)/19)*(INDEX('Conversion Range'!$D$2:$D$35,MATCH(D$1,'Conversion Range'!$A$2:$A$35,0))-INDEX('Conversion Range'!$C$2:$C$35,MATCH(D$1,'Conversion Range'!$A$2:$A$35,0))),INDEX('Conversion Range'!$C$2:$C$35,MATCH(D$1,'Conversion Range'!$A$2:$A$35,0))+(('Legend Attributes'!D18-1)/19)*(INDEX('Conversion Range'!$D$2:$D$35,MATCH(D$1,'Conversion Range'!$A$2:$A$35,0))-INDEX('Conversion Range'!$C$2:$C$35,MATCH(D$1,'Conversion Range'!$A$2:$A$35,0)))),3))</f>
        <v>5.8000000000000003E-2</v>
      </c>
      <c r="E18" s="15">
        <f>IF('Legend Attributes'!E18=0,0,ROUND(IF(INDEX('Conversion Range'!$E$2:$E$35,MATCH(E$1,'Conversion Range'!$A$2:$A$35,0))=1,INDEX('Conversion Range'!$D$2:$D$35,MATCH(E$1,'Conversion Range'!$A$2:$A$35,0))-(('Legend Attributes'!E18-1)/19)*(INDEX('Conversion Range'!$D$2:$D$35,MATCH(E$1,'Conversion Range'!$A$2:$A$35,0))-INDEX('Conversion Range'!$C$2:$C$35,MATCH(E$1,'Conversion Range'!$A$2:$A$35,0))),INDEX('Conversion Range'!$C$2:$C$35,MATCH(E$1,'Conversion Range'!$A$2:$A$35,0))+(('Legend Attributes'!E18-1)/19)*(INDEX('Conversion Range'!$D$2:$D$35,MATCH(E$1,'Conversion Range'!$A$2:$A$35,0))-INDEX('Conversion Range'!$C$2:$C$35,MATCH(E$1,'Conversion Range'!$A$2:$A$35,0)))),3))</f>
        <v>6.7000000000000004E-2</v>
      </c>
      <c r="F18" s="15">
        <f>IF('Legend Attributes'!F18=0,0,ROUND(IF(INDEX('Conversion Range'!$E$2:$E$35,MATCH(F$1,'Conversion Range'!$A$2:$A$35,0))=1,INDEX('Conversion Range'!$D$2:$D$35,MATCH(F$1,'Conversion Range'!$A$2:$A$35,0))-(('Legend Attributes'!F18-1)/19)*(INDEX('Conversion Range'!$D$2:$D$35,MATCH(F$1,'Conversion Range'!$A$2:$A$35,0))-INDEX('Conversion Range'!$C$2:$C$35,MATCH(F$1,'Conversion Range'!$A$2:$A$35,0))),INDEX('Conversion Range'!$C$2:$C$35,MATCH(F$1,'Conversion Range'!$A$2:$A$35,0))+(('Legend Attributes'!F18-1)/19)*(INDEX('Conversion Range'!$D$2:$D$35,MATCH(F$1,'Conversion Range'!$A$2:$A$35,0))-INDEX('Conversion Range'!$C$2:$C$35,MATCH(F$1,'Conversion Range'!$A$2:$A$35,0)))),3))</f>
        <v>0.55500000000000005</v>
      </c>
      <c r="G18" s="15">
        <f>IF('Legend Attributes'!G18=0,0,ROUND(IF(INDEX('Conversion Range'!$E$2:$E$35,MATCH(G$1,'Conversion Range'!$A$2:$A$35,0))=1,INDEX('Conversion Range'!$D$2:$D$35,MATCH(G$1,'Conversion Range'!$A$2:$A$35,0))-(('Legend Attributes'!G18-1)/19)*(INDEX('Conversion Range'!$D$2:$D$35,MATCH(G$1,'Conversion Range'!$A$2:$A$35,0))-INDEX('Conversion Range'!$C$2:$C$35,MATCH(G$1,'Conversion Range'!$A$2:$A$35,0))),INDEX('Conversion Range'!$C$2:$C$35,MATCH(G$1,'Conversion Range'!$A$2:$A$35,0))+(('Legend Attributes'!G18-1)/19)*(INDEX('Conversion Range'!$D$2:$D$35,MATCH(G$1,'Conversion Range'!$A$2:$A$35,0))-INDEX('Conversion Range'!$C$2:$C$35,MATCH(G$1,'Conversion Range'!$A$2:$A$35,0)))),3))</f>
        <v>0.19700000000000001</v>
      </c>
      <c r="H18" s="15">
        <f>IF('Legend Attributes'!H18=0,0,ROUND(IF(INDEX('Conversion Range'!$E$2:$E$35,MATCH(H$1,'Conversion Range'!$A$2:$A$35,0))=1,INDEX('Conversion Range'!$D$2:$D$35,MATCH(H$1,'Conversion Range'!$A$2:$A$35,0))-(('Legend Attributes'!H18-1)/19)*(INDEX('Conversion Range'!$D$2:$D$35,MATCH(H$1,'Conversion Range'!$A$2:$A$35,0))-INDEX('Conversion Range'!$C$2:$C$35,MATCH(H$1,'Conversion Range'!$A$2:$A$35,0))),INDEX('Conversion Range'!$C$2:$C$35,MATCH(H$1,'Conversion Range'!$A$2:$A$35,0))+(('Legend Attributes'!H18-1)/19)*(INDEX('Conversion Range'!$D$2:$D$35,MATCH(H$1,'Conversion Range'!$A$2:$A$35,0))-INDEX('Conversion Range'!$C$2:$C$35,MATCH(H$1,'Conversion Range'!$A$2:$A$35,0)))),3))</f>
        <v>0.105</v>
      </c>
      <c r="I18" s="15">
        <f>IF('Legend Attributes'!I18=0,0,ROUND(IF(INDEX('Conversion Range'!$E$2:$E$35,MATCH(I$1,'Conversion Range'!$A$2:$A$35,0))=1,INDEX('Conversion Range'!$D$2:$D$35,MATCH(I$1,'Conversion Range'!$A$2:$A$35,0))-(('Legend Attributes'!I18-1)/19)*(INDEX('Conversion Range'!$D$2:$D$35,MATCH(I$1,'Conversion Range'!$A$2:$A$35,0))-INDEX('Conversion Range'!$C$2:$C$35,MATCH(I$1,'Conversion Range'!$A$2:$A$35,0))),INDEX('Conversion Range'!$C$2:$C$35,MATCH(I$1,'Conversion Range'!$A$2:$A$35,0))+(('Legend Attributes'!I18-1)/19)*(INDEX('Conversion Range'!$D$2:$D$35,MATCH(I$1,'Conversion Range'!$A$2:$A$35,0))-INDEX('Conversion Range'!$C$2:$C$35,MATCH(I$1,'Conversion Range'!$A$2:$A$35,0)))),3))</f>
        <v>0.626</v>
      </c>
      <c r="J18" s="15">
        <f>IF('Legend Attributes'!J18=0,0,ROUND(IF(INDEX('Conversion Range'!$E$2:$E$35,MATCH(J$1,'Conversion Range'!$A$2:$A$35,0))=1,INDEX('Conversion Range'!$D$2:$D$35,MATCH(J$1,'Conversion Range'!$A$2:$A$35,0))-(('Legend Attributes'!J18-1)/19)*(INDEX('Conversion Range'!$D$2:$D$35,MATCH(J$1,'Conversion Range'!$A$2:$A$35,0))-INDEX('Conversion Range'!$C$2:$C$35,MATCH(J$1,'Conversion Range'!$A$2:$A$35,0))),INDEX('Conversion Range'!$C$2:$C$35,MATCH(J$1,'Conversion Range'!$A$2:$A$35,0))+(('Legend Attributes'!J18-1)/19)*(INDEX('Conversion Range'!$D$2:$D$35,MATCH(J$1,'Conversion Range'!$A$2:$A$35,0))-INDEX('Conversion Range'!$C$2:$C$35,MATCH(J$1,'Conversion Range'!$A$2:$A$35,0)))),3))</f>
        <v>2.484</v>
      </c>
      <c r="K18" s="15">
        <f>IF('Legend Attributes'!K18=0,0,ROUND(IF(INDEX('Conversion Range'!$E$2:$E$35,MATCH(K$1,'Conversion Range'!$A$2:$A$35,0))=1,INDEX('Conversion Range'!$D$2:$D$35,MATCH(K$1,'Conversion Range'!$A$2:$A$35,0))-(('Legend Attributes'!K18-1)/19)*(INDEX('Conversion Range'!$D$2:$D$35,MATCH(K$1,'Conversion Range'!$A$2:$A$35,0))-INDEX('Conversion Range'!$C$2:$C$35,MATCH(K$1,'Conversion Range'!$A$2:$A$35,0))),INDEX('Conversion Range'!$C$2:$C$35,MATCH(K$1,'Conversion Range'!$A$2:$A$35,0))+(('Legend Attributes'!K18-1)/19)*(INDEX('Conversion Range'!$D$2:$D$35,MATCH(K$1,'Conversion Range'!$A$2:$A$35,0))-INDEX('Conversion Range'!$C$2:$C$35,MATCH(K$1,'Conversion Range'!$A$2:$A$35,0)))),3))</f>
        <v>1.7210000000000001</v>
      </c>
      <c r="L18" s="15">
        <f>IF('Legend Attributes'!L18=0,0,ROUND(IF(INDEX('Conversion Range'!$E$2:$E$35,MATCH(L$1,'Conversion Range'!$A$2:$A$35,0))=1,INDEX('Conversion Range'!$D$2:$D$35,MATCH(L$1,'Conversion Range'!$A$2:$A$35,0))-(('Legend Attributes'!L18-1)/19)*(INDEX('Conversion Range'!$D$2:$D$35,MATCH(L$1,'Conversion Range'!$A$2:$A$35,0))-INDEX('Conversion Range'!$C$2:$C$35,MATCH(L$1,'Conversion Range'!$A$2:$A$35,0))),INDEX('Conversion Range'!$C$2:$C$35,MATCH(L$1,'Conversion Range'!$A$2:$A$35,0))+(('Legend Attributes'!L18-1)/19)*(INDEX('Conversion Range'!$D$2:$D$35,MATCH(L$1,'Conversion Range'!$A$2:$A$35,0))-INDEX('Conversion Range'!$C$2:$C$35,MATCH(L$1,'Conversion Range'!$A$2:$A$35,0)))),3))</f>
        <v>5.2210000000000001</v>
      </c>
      <c r="M18" s="15">
        <f>IF('Legend Attributes'!M18=0,0,ROUND(IF(INDEX('Conversion Range'!$E$2:$E$35,MATCH(M$1,'Conversion Range'!$A$2:$A$35,0))=1,INDEX('Conversion Range'!$D$2:$D$35,MATCH(M$1,'Conversion Range'!$A$2:$A$35,0))-(('Legend Attributes'!M18-1)/19)*(INDEX('Conversion Range'!$D$2:$D$35,MATCH(M$1,'Conversion Range'!$A$2:$A$35,0))-INDEX('Conversion Range'!$C$2:$C$35,MATCH(M$1,'Conversion Range'!$A$2:$A$35,0))),INDEX('Conversion Range'!$C$2:$C$35,MATCH(M$1,'Conversion Range'!$A$2:$A$35,0))+(('Legend Attributes'!M18-1)/19)*(INDEX('Conversion Range'!$D$2:$D$35,MATCH(M$1,'Conversion Range'!$A$2:$A$35,0))-INDEX('Conversion Range'!$C$2:$C$35,MATCH(M$1,'Conversion Range'!$A$2:$A$35,0)))),3))</f>
        <v>0.67400000000000004</v>
      </c>
      <c r="N18" s="15">
        <f>IF('Legend Attributes'!N18=0,0,ROUND(IF(INDEX('Conversion Range'!$E$2:$E$35,MATCH(N$1,'Conversion Range'!$A$2:$A$35,0))=1,INDEX('Conversion Range'!$D$2:$D$35,MATCH(N$1,'Conversion Range'!$A$2:$A$35,0))-(('Legend Attributes'!N18-1)/19)*(INDEX('Conversion Range'!$D$2:$D$35,MATCH(N$1,'Conversion Range'!$A$2:$A$35,0))-INDEX('Conversion Range'!$C$2:$C$35,MATCH(N$1,'Conversion Range'!$A$2:$A$35,0))),INDEX('Conversion Range'!$C$2:$C$35,MATCH(N$1,'Conversion Range'!$A$2:$A$35,0))+(('Legend Attributes'!N18-1)/19)*(INDEX('Conversion Range'!$D$2:$D$35,MATCH(N$1,'Conversion Range'!$A$2:$A$35,0))-INDEX('Conversion Range'!$C$2:$C$35,MATCH(N$1,'Conversion Range'!$A$2:$A$35,0)))),3))</f>
        <v>7.5259999999999998</v>
      </c>
      <c r="O18" s="15">
        <f>IF('Legend Attributes'!O18=0,0,ROUND(IF(INDEX('Conversion Range'!$E$2:$E$35,MATCH(O$1,'Conversion Range'!$A$2:$A$35,0))=1,INDEX('Conversion Range'!$D$2:$D$35,MATCH(O$1,'Conversion Range'!$A$2:$A$35,0))-(('Legend Attributes'!O18-1)/19)*(INDEX('Conversion Range'!$D$2:$D$35,MATCH(O$1,'Conversion Range'!$A$2:$A$35,0))-INDEX('Conversion Range'!$C$2:$C$35,MATCH(O$1,'Conversion Range'!$A$2:$A$35,0))),INDEX('Conversion Range'!$C$2:$C$35,MATCH(O$1,'Conversion Range'!$A$2:$A$35,0))+(('Legend Attributes'!O18-1)/19)*(INDEX('Conversion Range'!$D$2:$D$35,MATCH(O$1,'Conversion Range'!$A$2:$A$35,0))-INDEX('Conversion Range'!$C$2:$C$35,MATCH(O$1,'Conversion Range'!$A$2:$A$35,0)))),3))</f>
        <v>0.42599999999999999</v>
      </c>
      <c r="P18" s="15">
        <f>IF('Legend Attributes'!P18=0,0,ROUND(IF(INDEX('Conversion Range'!$E$2:$E$35,MATCH(P$1,'Conversion Range'!$A$2:$A$35,0))=1,INDEX('Conversion Range'!$D$2:$D$35,MATCH(P$1,'Conversion Range'!$A$2:$A$35,0))-(('Legend Attributes'!P18-1)/19)*(INDEX('Conversion Range'!$D$2:$D$35,MATCH(P$1,'Conversion Range'!$A$2:$A$35,0))-INDEX('Conversion Range'!$C$2:$C$35,MATCH(P$1,'Conversion Range'!$A$2:$A$35,0))),INDEX('Conversion Range'!$C$2:$C$35,MATCH(P$1,'Conversion Range'!$A$2:$A$35,0))+(('Legend Attributes'!P18-1)/19)*(INDEX('Conversion Range'!$D$2:$D$35,MATCH(P$1,'Conversion Range'!$A$2:$A$35,0))-INDEX('Conversion Range'!$C$2:$C$35,MATCH(P$1,'Conversion Range'!$A$2:$A$35,0)))),3))</f>
        <v>53.158000000000001</v>
      </c>
      <c r="Q18" s="15">
        <f>IF('Legend Attributes'!Q18=0,0,ROUND(IF(INDEX('Conversion Range'!$E$2:$E$35,MATCH(Q$1,'Conversion Range'!$A$2:$A$35,0))=1,INDEX('Conversion Range'!$D$2:$D$35,MATCH(Q$1,'Conversion Range'!$A$2:$A$35,0))-(('Legend Attributes'!Q18-1)/19)*(INDEX('Conversion Range'!$D$2:$D$35,MATCH(Q$1,'Conversion Range'!$A$2:$A$35,0))-INDEX('Conversion Range'!$C$2:$C$35,MATCH(Q$1,'Conversion Range'!$A$2:$A$35,0))),INDEX('Conversion Range'!$C$2:$C$35,MATCH(Q$1,'Conversion Range'!$A$2:$A$35,0))+(('Legend Attributes'!Q18-1)/19)*(INDEX('Conversion Range'!$D$2:$D$35,MATCH(Q$1,'Conversion Range'!$A$2:$A$35,0))-INDEX('Conversion Range'!$C$2:$C$35,MATCH(Q$1,'Conversion Range'!$A$2:$A$35,0)))),3))</f>
        <v>59.316000000000003</v>
      </c>
      <c r="R18" s="15">
        <f>IF('Legend Attributes'!R18=0,0,ROUND(IF(INDEX('Conversion Range'!$E$2:$E$35,MATCH(R$1,'Conversion Range'!$A$2:$A$35,0))=1,INDEX('Conversion Range'!$D$2:$D$35,MATCH(R$1,'Conversion Range'!$A$2:$A$35,0))-(('Legend Attributes'!R18-1)/19)*(INDEX('Conversion Range'!$D$2:$D$35,MATCH(R$1,'Conversion Range'!$A$2:$A$35,0))-INDEX('Conversion Range'!$C$2:$C$35,MATCH(R$1,'Conversion Range'!$A$2:$A$35,0))),INDEX('Conversion Range'!$C$2:$C$35,MATCH(R$1,'Conversion Range'!$A$2:$A$35,0))+(('Legend Attributes'!R18-1)/19)*(INDEX('Conversion Range'!$D$2:$D$35,MATCH(R$1,'Conversion Range'!$A$2:$A$35,0))-INDEX('Conversion Range'!$C$2:$C$35,MATCH(R$1,'Conversion Range'!$A$2:$A$35,0)))),3))</f>
        <v>78.158000000000001</v>
      </c>
      <c r="S18" s="15">
        <f>IF('Legend Attributes'!S18=0,0,ROUND(IF(INDEX('Conversion Range'!$E$2:$E$35,MATCH(S$1,'Conversion Range'!$A$2:$A$35,0))=1,INDEX('Conversion Range'!$D$2:$D$35,MATCH(S$1,'Conversion Range'!$A$2:$A$35,0))-(('Legend Attributes'!S18-1)/19)*(INDEX('Conversion Range'!$D$2:$D$35,MATCH(S$1,'Conversion Range'!$A$2:$A$35,0))-INDEX('Conversion Range'!$C$2:$C$35,MATCH(S$1,'Conversion Range'!$A$2:$A$35,0))),INDEX('Conversion Range'!$C$2:$C$35,MATCH(S$1,'Conversion Range'!$A$2:$A$35,0))+(('Legend Attributes'!S18-1)/19)*(INDEX('Conversion Range'!$D$2:$D$35,MATCH(S$1,'Conversion Range'!$A$2:$A$35,0))-INDEX('Conversion Range'!$C$2:$C$35,MATCH(S$1,'Conversion Range'!$A$2:$A$35,0)))),3))</f>
        <v>2.4580000000000002</v>
      </c>
      <c r="T18" s="15">
        <f>IF('Legend Attributes'!T18=0,0,ROUND(IF(INDEX('Conversion Range'!$E$2:$E$35,MATCH(T$1,'Conversion Range'!$A$2:$A$35,0))=1,INDEX('Conversion Range'!$D$2:$D$35,MATCH(T$1,'Conversion Range'!$A$2:$A$35,0))-(('Legend Attributes'!T18-1)/19)*(INDEX('Conversion Range'!$D$2:$D$35,MATCH(T$1,'Conversion Range'!$A$2:$A$35,0))-INDEX('Conversion Range'!$C$2:$C$35,MATCH(T$1,'Conversion Range'!$A$2:$A$35,0))),INDEX('Conversion Range'!$C$2:$C$35,MATCH(T$1,'Conversion Range'!$A$2:$A$35,0))+(('Legend Attributes'!T18-1)/19)*(INDEX('Conversion Range'!$D$2:$D$35,MATCH(T$1,'Conversion Range'!$A$2:$A$35,0))-INDEX('Conversion Range'!$C$2:$C$35,MATCH(T$1,'Conversion Range'!$A$2:$A$35,0)))),3))</f>
        <v>47.631999999999998</v>
      </c>
      <c r="U18" s="15">
        <f>IF('Legend Attributes'!U18=0,0,ROUND(IF(INDEX('Conversion Range'!$E$2:$E$35,MATCH(U$1,'Conversion Range'!$A$2:$A$35,0))=1,INDEX('Conversion Range'!$D$2:$D$35,MATCH(U$1,'Conversion Range'!$A$2:$A$35,0))-(('Legend Attributes'!U18-1)/19)*(INDEX('Conversion Range'!$D$2:$D$35,MATCH(U$1,'Conversion Range'!$A$2:$A$35,0))-INDEX('Conversion Range'!$C$2:$C$35,MATCH(U$1,'Conversion Range'!$A$2:$A$35,0))),INDEX('Conversion Range'!$C$2:$C$35,MATCH(U$1,'Conversion Range'!$A$2:$A$35,0))+(('Legend Attributes'!U18-1)/19)*(INDEX('Conversion Range'!$D$2:$D$35,MATCH(U$1,'Conversion Range'!$A$2:$A$35,0))-INDEX('Conversion Range'!$C$2:$C$35,MATCH(U$1,'Conversion Range'!$A$2:$A$35,0)))),3))</f>
        <v>4.6790000000000003</v>
      </c>
      <c r="V18" s="15">
        <f>IF('Legend Attributes'!V18=0,0,ROUND(IF(INDEX('Conversion Range'!$E$2:$E$35,MATCH(V$1,'Conversion Range'!$A$2:$A$35,0))=1,INDEX('Conversion Range'!$D$2:$D$35,MATCH(V$1,'Conversion Range'!$A$2:$A$35,0))-(('Legend Attributes'!V18-1)/19)*(INDEX('Conversion Range'!$D$2:$D$35,MATCH(V$1,'Conversion Range'!$A$2:$A$35,0))-INDEX('Conversion Range'!$C$2:$C$35,MATCH(V$1,'Conversion Range'!$A$2:$A$35,0))),INDEX('Conversion Range'!$C$2:$C$35,MATCH(V$1,'Conversion Range'!$A$2:$A$35,0))+(('Legend Attributes'!V18-1)/19)*(INDEX('Conversion Range'!$D$2:$D$35,MATCH(V$1,'Conversion Range'!$A$2:$A$35,0))-INDEX('Conversion Range'!$C$2:$C$35,MATCH(V$1,'Conversion Range'!$A$2:$A$35,0)))),3))</f>
        <v>65.525999999999996</v>
      </c>
      <c r="W18" s="15">
        <f>IF('Legend Attributes'!W18=0,0,ROUND(IF(INDEX('Conversion Range'!$E$2:$E$35,MATCH(W$1,'Conversion Range'!$A$2:$A$35,0))=1,INDEX('Conversion Range'!$D$2:$D$35,MATCH(W$1,'Conversion Range'!$A$2:$A$35,0))-(('Legend Attributes'!W18-1)/19)*(INDEX('Conversion Range'!$D$2:$D$35,MATCH(W$1,'Conversion Range'!$A$2:$A$35,0))-INDEX('Conversion Range'!$C$2:$C$35,MATCH(W$1,'Conversion Range'!$A$2:$A$35,0))),INDEX('Conversion Range'!$C$2:$C$35,MATCH(W$1,'Conversion Range'!$A$2:$A$35,0))+(('Legend Attributes'!W18-1)/19)*(INDEX('Conversion Range'!$D$2:$D$35,MATCH(W$1,'Conversion Range'!$A$2:$A$35,0))-INDEX('Conversion Range'!$C$2:$C$35,MATCH(W$1,'Conversion Range'!$A$2:$A$35,0)))),3))</f>
        <v>2.5999999999999999E-2</v>
      </c>
      <c r="X18" s="15">
        <f>IF('Legend Attributes'!X18=0,0,ROUND(IF(INDEX('Conversion Range'!$E$2:$E$35,MATCH(X$1,'Conversion Range'!$A$2:$A$35,0))=1,INDEX('Conversion Range'!$D$2:$D$35,MATCH(X$1,'Conversion Range'!$A$2:$A$35,0))-(('Legend Attributes'!X18-1)/19)*(INDEX('Conversion Range'!$D$2:$D$35,MATCH(X$1,'Conversion Range'!$A$2:$A$35,0))-INDEX('Conversion Range'!$C$2:$C$35,MATCH(X$1,'Conversion Range'!$A$2:$A$35,0))),INDEX('Conversion Range'!$C$2:$C$35,MATCH(X$1,'Conversion Range'!$A$2:$A$35,0))+(('Legend Attributes'!X18-1)/19)*(INDEX('Conversion Range'!$D$2:$D$35,MATCH(X$1,'Conversion Range'!$A$2:$A$35,0))-INDEX('Conversion Range'!$C$2:$C$35,MATCH(X$1,'Conversion Range'!$A$2:$A$35,0)))),3))</f>
        <v>5.8000000000000003E-2</v>
      </c>
      <c r="Y18" s="15">
        <f>IF('Legend Attributes'!Y18=0,0,ROUND(IF(INDEX('Conversion Range'!$E$2:$E$35,MATCH(Y$1,'Conversion Range'!$A$2:$A$35,0))=1,INDEX('Conversion Range'!$D$2:$D$35,MATCH(Y$1,'Conversion Range'!$A$2:$A$35,0))-(('Legend Attributes'!Y18-1)/19)*(INDEX('Conversion Range'!$D$2:$D$35,MATCH(Y$1,'Conversion Range'!$A$2:$A$35,0))-INDEX('Conversion Range'!$C$2:$C$35,MATCH(Y$1,'Conversion Range'!$A$2:$A$35,0))),INDEX('Conversion Range'!$C$2:$C$35,MATCH(Y$1,'Conversion Range'!$A$2:$A$35,0))+(('Legend Attributes'!Y18-1)/19)*(INDEX('Conversion Range'!$D$2:$D$35,MATCH(Y$1,'Conversion Range'!$A$2:$A$35,0))-INDEX('Conversion Range'!$C$2:$C$35,MATCH(Y$1,'Conversion Range'!$A$2:$A$35,0)))),3))</f>
        <v>0.23699999999999999</v>
      </c>
      <c r="Z18" s="15">
        <f>IF('Legend Attributes'!Z18=0,0,ROUND(IF(INDEX('Conversion Range'!$E$2:$E$35,MATCH(Z$1,'Conversion Range'!$A$2:$A$35,0))=1,INDEX('Conversion Range'!$D$2:$D$35,MATCH(Z$1,'Conversion Range'!$A$2:$A$35,0))-(('Legend Attributes'!Z18-1)/19)*(INDEX('Conversion Range'!$D$2:$D$35,MATCH(Z$1,'Conversion Range'!$A$2:$A$35,0))-INDEX('Conversion Range'!$C$2:$C$35,MATCH(Z$1,'Conversion Range'!$A$2:$A$35,0))),INDEX('Conversion Range'!$C$2:$C$35,MATCH(Z$1,'Conversion Range'!$A$2:$A$35,0))+(('Legend Attributes'!Z18-1)/19)*(INDEX('Conversion Range'!$D$2:$D$35,MATCH(Z$1,'Conversion Range'!$A$2:$A$35,0))-INDEX('Conversion Range'!$C$2:$C$35,MATCH(Z$1,'Conversion Range'!$A$2:$A$35,0)))),3))</f>
        <v>6.7889999999999997</v>
      </c>
      <c r="AA18" s="15">
        <f>IF('Legend Attributes'!AA18=0,0,ROUND(IF(INDEX('Conversion Range'!$E$2:$E$35,MATCH(AA$1,'Conversion Range'!$A$2:$A$35,0))=1,INDEX('Conversion Range'!$D$2:$D$35,MATCH(AA$1,'Conversion Range'!$A$2:$A$35,0))-(('Legend Attributes'!AA18-1)/19)*(INDEX('Conversion Range'!$D$2:$D$35,MATCH(AA$1,'Conversion Range'!$A$2:$A$35,0))-INDEX('Conversion Range'!$C$2:$C$35,MATCH(AA$1,'Conversion Range'!$A$2:$A$35,0))),INDEX('Conversion Range'!$C$2:$C$35,MATCH(AA$1,'Conversion Range'!$A$2:$A$35,0))+(('Legend Attributes'!AA18-1)/19)*(INDEX('Conversion Range'!$D$2:$D$35,MATCH(AA$1,'Conversion Range'!$A$2:$A$35,0))-INDEX('Conversion Range'!$C$2:$C$35,MATCH(AA$1,'Conversion Range'!$A$2:$A$35,0)))),3))</f>
        <v>0</v>
      </c>
      <c r="AB18" s="15">
        <f>IF('Legend Attributes'!AB18=0,0,ROUND(IF(INDEX('Conversion Range'!$E$2:$E$35,MATCH(AB$1,'Conversion Range'!$A$2:$A$35,0))=1,INDEX('Conversion Range'!$D$2:$D$35,MATCH(AB$1,'Conversion Range'!$A$2:$A$35,0))-(('Legend Attributes'!AB18-1)/19)*(INDEX('Conversion Range'!$D$2:$D$35,MATCH(AB$1,'Conversion Range'!$A$2:$A$35,0))-INDEX('Conversion Range'!$C$2:$C$35,MATCH(AB$1,'Conversion Range'!$A$2:$A$35,0))),INDEX('Conversion Range'!$C$2:$C$35,MATCH(AB$1,'Conversion Range'!$A$2:$A$35,0))+(('Legend Attributes'!AB18-1)/19)*(INDEX('Conversion Range'!$D$2:$D$35,MATCH(AB$1,'Conversion Range'!$A$2:$A$35,0))-INDEX('Conversion Range'!$C$2:$C$35,MATCH(AB$1,'Conversion Range'!$A$2:$A$35,0)))),3))</f>
        <v>0.28699999999999998</v>
      </c>
      <c r="AC18" s="15">
        <f>IF('Legend Attributes'!AC18=0,0,ROUND(IF(INDEX('Conversion Range'!$E$2:$E$35,MATCH(AC$1,'Conversion Range'!$A$2:$A$35,0))=1,INDEX('Conversion Range'!$D$2:$D$35,MATCH(AC$1,'Conversion Range'!$A$2:$A$35,0))-(('Legend Attributes'!AC18-1)/19)*(INDEX('Conversion Range'!$D$2:$D$35,MATCH(AC$1,'Conversion Range'!$A$2:$A$35,0))-INDEX('Conversion Range'!$C$2:$C$35,MATCH(AC$1,'Conversion Range'!$A$2:$A$35,0))),INDEX('Conversion Range'!$C$2:$C$35,MATCH(AC$1,'Conversion Range'!$A$2:$A$35,0))+(('Legend Attributes'!AC18-1)/19)*(INDEX('Conversion Range'!$D$2:$D$35,MATCH(AC$1,'Conversion Range'!$A$2:$A$35,0))-INDEX('Conversion Range'!$C$2:$C$35,MATCH(AC$1,'Conversion Range'!$A$2:$A$35,0)))),3))</f>
        <v>0.249</v>
      </c>
      <c r="AD18" s="15">
        <f>IF('Legend Attributes'!AD18=0,0,ROUND(IF(INDEX('Conversion Range'!$E$2:$E$35,MATCH(AD$1,'Conversion Range'!$A$2:$A$35,0))=1,INDEX('Conversion Range'!$D$2:$D$35,MATCH(AD$1,'Conversion Range'!$A$2:$A$35,0))-(('Legend Attributes'!AD18-1)/19)*(INDEX('Conversion Range'!$D$2:$D$35,MATCH(AD$1,'Conversion Range'!$A$2:$A$35,0))-INDEX('Conversion Range'!$C$2:$C$35,MATCH(AD$1,'Conversion Range'!$A$2:$A$35,0))),INDEX('Conversion Range'!$C$2:$C$35,MATCH(AD$1,'Conversion Range'!$A$2:$A$35,0))+(('Legend Attributes'!AD18-1)/19)*(INDEX('Conversion Range'!$D$2:$D$35,MATCH(AD$1,'Conversion Range'!$A$2:$A$35,0))-INDEX('Conversion Range'!$C$2:$C$35,MATCH(AD$1,'Conversion Range'!$A$2:$A$35,0)))),3))</f>
        <v>0</v>
      </c>
      <c r="AE18" s="15">
        <f>IF('Legend Attributes'!AE18=0,0,ROUND(IF(INDEX('Conversion Range'!$E$2:$E$35,MATCH(AE$1,'Conversion Range'!$A$2:$A$35,0))=1,INDEX('Conversion Range'!$D$2:$D$35,MATCH(AE$1,'Conversion Range'!$A$2:$A$35,0))-(('Legend Attributes'!AE18-1)/19)*(INDEX('Conversion Range'!$D$2:$D$35,MATCH(AE$1,'Conversion Range'!$A$2:$A$35,0))-INDEX('Conversion Range'!$C$2:$C$35,MATCH(AE$1,'Conversion Range'!$A$2:$A$35,0))),INDEX('Conversion Range'!$C$2:$C$35,MATCH(AE$1,'Conversion Range'!$A$2:$A$35,0))+(('Legend Attributes'!AE18-1)/19)*(INDEX('Conversion Range'!$D$2:$D$35,MATCH(AE$1,'Conversion Range'!$A$2:$A$35,0))-INDEX('Conversion Range'!$C$2:$C$35,MATCH(AE$1,'Conversion Range'!$A$2:$A$35,0)))),3))</f>
        <v>0</v>
      </c>
      <c r="AF18" s="15">
        <f>IF('Legend Attributes'!AF18=0,0,ROUND(IF(INDEX('Conversion Range'!$E$2:$E$35,MATCH(AF$1,'Conversion Range'!$A$2:$A$35,0))=1,INDEX('Conversion Range'!$D$2:$D$35,MATCH(AF$1,'Conversion Range'!$A$2:$A$35,0))-(('Legend Attributes'!AF18-1)/19)*(INDEX('Conversion Range'!$D$2:$D$35,MATCH(AF$1,'Conversion Range'!$A$2:$A$35,0))-INDEX('Conversion Range'!$C$2:$C$35,MATCH(AF$1,'Conversion Range'!$A$2:$A$35,0))),INDEX('Conversion Range'!$C$2:$C$35,MATCH(AF$1,'Conversion Range'!$A$2:$A$35,0))+(('Legend Attributes'!AF18-1)/19)*(INDEX('Conversion Range'!$D$2:$D$35,MATCH(AF$1,'Conversion Range'!$A$2:$A$35,0))-INDEX('Conversion Range'!$C$2:$C$35,MATCH(AF$1,'Conversion Range'!$A$2:$A$35,0)))),3))</f>
        <v>0</v>
      </c>
      <c r="AG18" s="15">
        <f>IF('Legend Attributes'!AG18=0,0,ROUND(IF(INDEX('Conversion Range'!$E$2:$E$35,MATCH(AG$1,'Conversion Range'!$A$2:$A$35,0))=1,INDEX('Conversion Range'!$D$2:$D$35,MATCH(AG$1,'Conversion Range'!$A$2:$A$35,0))-(('Legend Attributes'!AG18-1)/19)*(INDEX('Conversion Range'!$D$2:$D$35,MATCH(AG$1,'Conversion Range'!$A$2:$A$35,0))-INDEX('Conversion Range'!$C$2:$C$35,MATCH(AG$1,'Conversion Range'!$A$2:$A$35,0))),INDEX('Conversion Range'!$C$2:$C$35,MATCH(AG$1,'Conversion Range'!$A$2:$A$35,0))+(('Legend Attributes'!AG18-1)/19)*(INDEX('Conversion Range'!$D$2:$D$35,MATCH(AG$1,'Conversion Range'!$A$2:$A$35,0))-INDEX('Conversion Range'!$C$2:$C$35,MATCH(AG$1,'Conversion Range'!$A$2:$A$35,0)))),3))</f>
        <v>0.89500000000000002</v>
      </c>
      <c r="AH18" s="15">
        <f>IF('Legend Attributes'!AH18=0,0,ROUND(IF(INDEX('Conversion Range'!$E$2:$E$35,MATCH(AH$1,'Conversion Range'!$A$2:$A$35,0))=1,INDEX('Conversion Range'!$D$2:$D$35,MATCH(AH$1,'Conversion Range'!$A$2:$A$35,0))-(('Legend Attributes'!AH18-1)/19)*(INDEX('Conversion Range'!$D$2:$D$35,MATCH(AH$1,'Conversion Range'!$A$2:$A$35,0))-INDEX('Conversion Range'!$C$2:$C$35,MATCH(AH$1,'Conversion Range'!$A$2:$A$35,0))),INDEX('Conversion Range'!$C$2:$C$35,MATCH(AH$1,'Conversion Range'!$A$2:$A$35,0))+(('Legend Attributes'!AH18-1)/19)*(INDEX('Conversion Range'!$D$2:$D$35,MATCH(AH$1,'Conversion Range'!$A$2:$A$35,0))-INDEX('Conversion Range'!$C$2:$C$35,MATCH(AH$1,'Conversion Range'!$A$2:$A$35,0)))),3))</f>
        <v>0.26900000000000002</v>
      </c>
      <c r="AI18" s="15">
        <f>IF('Legend Attributes'!AI18=0,0,ROUND(IF(INDEX('Conversion Range'!$E$2:$E$35,MATCH(AI$1,'Conversion Range'!$A$2:$A$35,0))=1,INDEX('Conversion Range'!$D$2:$D$35,MATCH(AI$1,'Conversion Range'!$A$2:$A$35,0))-(('Legend Attributes'!AI18-1)/19)*(INDEX('Conversion Range'!$D$2:$D$35,MATCH(AI$1,'Conversion Range'!$A$2:$A$35,0))-INDEX('Conversion Range'!$C$2:$C$35,MATCH(AI$1,'Conversion Range'!$A$2:$A$35,0))),INDEX('Conversion Range'!$C$2:$C$35,MATCH(AI$1,'Conversion Range'!$A$2:$A$35,0))+(('Legend Attributes'!AI18-1)/19)*(INDEX('Conversion Range'!$D$2:$D$35,MATCH(AI$1,'Conversion Range'!$A$2:$A$35,0))-INDEX('Conversion Range'!$C$2:$C$35,MATCH(AI$1,'Conversion Range'!$A$2:$A$35,0)))),3))</f>
        <v>7.5999999999999998E-2</v>
      </c>
      <c r="AJ18" s="15">
        <f>IF('Legend Attributes'!AJ18=0,0,ROUND(IF(INDEX('Conversion Range'!$E$2:$E$35,MATCH(AJ$1,'Conversion Range'!$A$2:$A$35,0))=1,INDEX('Conversion Range'!$D$2:$D$35,MATCH(AJ$1,'Conversion Range'!$A$2:$A$35,0))-(('Legend Attributes'!AJ18-1)/19)*(INDEX('Conversion Range'!$D$2:$D$35,MATCH(AJ$1,'Conversion Range'!$A$2:$A$35,0))-INDEX('Conversion Range'!$C$2:$C$35,MATCH(AJ$1,'Conversion Range'!$A$2:$A$35,0))),INDEX('Conversion Range'!$C$2:$C$35,MATCH(AJ$1,'Conversion Range'!$A$2:$A$35,0))+(('Legend Attributes'!AJ18-1)/19)*(INDEX('Conversion Range'!$D$2:$D$35,MATCH(AJ$1,'Conversion Range'!$A$2:$A$35,0))-INDEX('Conversion Range'!$C$2:$C$35,MATCH(AJ$1,'Conversion Range'!$A$2:$A$35,0)))),3))</f>
        <v>7.8209999999999997</v>
      </c>
    </row>
    <row r="19" spans="1:36" x14ac:dyDescent="0.35">
      <c r="A19" s="14" t="str">
        <f>'Legend Attributes'!A19</f>
        <v>Nemanja Vidić</v>
      </c>
      <c r="B19" s="15" t="str">
        <f>'Legend Attributes'!B19</f>
        <v>CB</v>
      </c>
      <c r="C19" s="15">
        <f>IF('Legend Attributes'!C19=0,0,ROUND(IF(INDEX('Conversion Range'!$E$2:$E$35,MATCH(C$1,'Conversion Range'!$A$2:$A$35,0))=1,INDEX('Conversion Range'!$D$2:$D$35,MATCH(C$1,'Conversion Range'!$A$2:$A$35,0))-(('Legend Attributes'!C19-1)/19)*(INDEX('Conversion Range'!$D$2:$D$35,MATCH(C$1,'Conversion Range'!$A$2:$A$35,0))-INDEX('Conversion Range'!$C$2:$C$35,MATCH(C$1,'Conversion Range'!$A$2:$A$35,0))),INDEX('Conversion Range'!$C$2:$C$35,MATCH(C$1,'Conversion Range'!$A$2:$A$35,0))+(('Legend Attributes'!C19-1)/19)*(INDEX('Conversion Range'!$D$2:$D$35,MATCH(C$1,'Conversion Range'!$A$2:$A$35,0))-INDEX('Conversion Range'!$C$2:$C$35,MATCH(C$1,'Conversion Range'!$A$2:$A$35,0)))),3))</f>
        <v>0.02</v>
      </c>
      <c r="D19" s="15">
        <f>IF('Legend Attributes'!D19=0,0,ROUND(IF(INDEX('Conversion Range'!$E$2:$E$35,MATCH(D$1,'Conversion Range'!$A$2:$A$35,0))=1,INDEX('Conversion Range'!$D$2:$D$35,MATCH(D$1,'Conversion Range'!$A$2:$A$35,0))-(('Legend Attributes'!D19-1)/19)*(INDEX('Conversion Range'!$D$2:$D$35,MATCH(D$1,'Conversion Range'!$A$2:$A$35,0))-INDEX('Conversion Range'!$C$2:$C$35,MATCH(D$1,'Conversion Range'!$A$2:$A$35,0))),INDEX('Conversion Range'!$C$2:$C$35,MATCH(D$1,'Conversion Range'!$A$2:$A$35,0))+(('Legend Attributes'!D19-1)/19)*(INDEX('Conversion Range'!$D$2:$D$35,MATCH(D$1,'Conversion Range'!$A$2:$A$35,0))-INDEX('Conversion Range'!$C$2:$C$35,MATCH(D$1,'Conversion Range'!$A$2:$A$35,0)))),3))</f>
        <v>0.02</v>
      </c>
      <c r="E19" s="15">
        <f>IF('Legend Attributes'!E19=0,0,ROUND(IF(INDEX('Conversion Range'!$E$2:$E$35,MATCH(E$1,'Conversion Range'!$A$2:$A$35,0))=1,INDEX('Conversion Range'!$D$2:$D$35,MATCH(E$1,'Conversion Range'!$A$2:$A$35,0))-(('Legend Attributes'!E19-1)/19)*(INDEX('Conversion Range'!$D$2:$D$35,MATCH(E$1,'Conversion Range'!$A$2:$A$35,0))-INDEX('Conversion Range'!$C$2:$C$35,MATCH(E$1,'Conversion Range'!$A$2:$A$35,0))),INDEX('Conversion Range'!$C$2:$C$35,MATCH(E$1,'Conversion Range'!$A$2:$A$35,0))+(('Legend Attributes'!E19-1)/19)*(INDEX('Conversion Range'!$D$2:$D$35,MATCH(E$1,'Conversion Range'!$A$2:$A$35,0))-INDEX('Conversion Range'!$C$2:$C$35,MATCH(E$1,'Conversion Range'!$A$2:$A$35,0)))),3))</f>
        <v>0.01</v>
      </c>
      <c r="F19" s="15">
        <f>IF('Legend Attributes'!F19=0,0,ROUND(IF(INDEX('Conversion Range'!$E$2:$E$35,MATCH(F$1,'Conversion Range'!$A$2:$A$35,0))=1,INDEX('Conversion Range'!$D$2:$D$35,MATCH(F$1,'Conversion Range'!$A$2:$A$35,0))-(('Legend Attributes'!F19-1)/19)*(INDEX('Conversion Range'!$D$2:$D$35,MATCH(F$1,'Conversion Range'!$A$2:$A$35,0))-INDEX('Conversion Range'!$C$2:$C$35,MATCH(F$1,'Conversion Range'!$A$2:$A$35,0))),INDEX('Conversion Range'!$C$2:$C$35,MATCH(F$1,'Conversion Range'!$A$2:$A$35,0))+(('Legend Attributes'!F19-1)/19)*(INDEX('Conversion Range'!$D$2:$D$35,MATCH(F$1,'Conversion Range'!$A$2:$A$35,0))-INDEX('Conversion Range'!$C$2:$C$35,MATCH(F$1,'Conversion Range'!$A$2:$A$35,0)))),3))</f>
        <v>0.15</v>
      </c>
      <c r="G19" s="15">
        <f>IF('Legend Attributes'!G19=0,0,ROUND(IF(INDEX('Conversion Range'!$E$2:$E$35,MATCH(G$1,'Conversion Range'!$A$2:$A$35,0))=1,INDEX('Conversion Range'!$D$2:$D$35,MATCH(G$1,'Conversion Range'!$A$2:$A$35,0))-(('Legend Attributes'!G19-1)/19)*(INDEX('Conversion Range'!$D$2:$D$35,MATCH(G$1,'Conversion Range'!$A$2:$A$35,0))-INDEX('Conversion Range'!$C$2:$C$35,MATCH(G$1,'Conversion Range'!$A$2:$A$35,0))),INDEX('Conversion Range'!$C$2:$C$35,MATCH(G$1,'Conversion Range'!$A$2:$A$35,0))+(('Legend Attributes'!G19-1)/19)*(INDEX('Conversion Range'!$D$2:$D$35,MATCH(G$1,'Conversion Range'!$A$2:$A$35,0))-INDEX('Conversion Range'!$C$2:$C$35,MATCH(G$1,'Conversion Range'!$A$2:$A$35,0)))),3))</f>
        <v>0.08</v>
      </c>
      <c r="H19" s="15">
        <f>IF('Legend Attributes'!H19=0,0,ROUND(IF(INDEX('Conversion Range'!$E$2:$E$35,MATCH(H$1,'Conversion Range'!$A$2:$A$35,0))=1,INDEX('Conversion Range'!$D$2:$D$35,MATCH(H$1,'Conversion Range'!$A$2:$A$35,0))-(('Legend Attributes'!H19-1)/19)*(INDEX('Conversion Range'!$D$2:$D$35,MATCH(H$1,'Conversion Range'!$A$2:$A$35,0))-INDEX('Conversion Range'!$C$2:$C$35,MATCH(H$1,'Conversion Range'!$A$2:$A$35,0))),INDEX('Conversion Range'!$C$2:$C$35,MATCH(H$1,'Conversion Range'!$A$2:$A$35,0))+(('Legend Attributes'!H19-1)/19)*(INDEX('Conversion Range'!$D$2:$D$35,MATCH(H$1,'Conversion Range'!$A$2:$A$35,0))-INDEX('Conversion Range'!$C$2:$C$35,MATCH(H$1,'Conversion Range'!$A$2:$A$35,0)))),3))</f>
        <v>5.2999999999999999E-2</v>
      </c>
      <c r="I19" s="15">
        <f>IF('Legend Attributes'!I19=0,0,ROUND(IF(INDEX('Conversion Range'!$E$2:$E$35,MATCH(I$1,'Conversion Range'!$A$2:$A$35,0))=1,INDEX('Conversion Range'!$D$2:$D$35,MATCH(I$1,'Conversion Range'!$A$2:$A$35,0))-(('Legend Attributes'!I19-1)/19)*(INDEX('Conversion Range'!$D$2:$D$35,MATCH(I$1,'Conversion Range'!$A$2:$A$35,0))-INDEX('Conversion Range'!$C$2:$C$35,MATCH(I$1,'Conversion Range'!$A$2:$A$35,0))),INDEX('Conversion Range'!$C$2:$C$35,MATCH(I$1,'Conversion Range'!$A$2:$A$35,0))+(('Legend Attributes'!I19-1)/19)*(INDEX('Conversion Range'!$D$2:$D$35,MATCH(I$1,'Conversion Range'!$A$2:$A$35,0))-INDEX('Conversion Range'!$C$2:$C$35,MATCH(I$1,'Conversion Range'!$A$2:$A$35,0)))),3))</f>
        <v>0.23200000000000001</v>
      </c>
      <c r="J19" s="15">
        <f>IF('Legend Attributes'!J19=0,0,ROUND(IF(INDEX('Conversion Range'!$E$2:$E$35,MATCH(J$1,'Conversion Range'!$A$2:$A$35,0))=1,INDEX('Conversion Range'!$D$2:$D$35,MATCH(J$1,'Conversion Range'!$A$2:$A$35,0))-(('Legend Attributes'!J19-1)/19)*(INDEX('Conversion Range'!$D$2:$D$35,MATCH(J$1,'Conversion Range'!$A$2:$A$35,0))-INDEX('Conversion Range'!$C$2:$C$35,MATCH(J$1,'Conversion Range'!$A$2:$A$35,0))),INDEX('Conversion Range'!$C$2:$C$35,MATCH(J$1,'Conversion Range'!$A$2:$A$35,0))+(('Legend Attributes'!J19-1)/19)*(INDEX('Conversion Range'!$D$2:$D$35,MATCH(J$1,'Conversion Range'!$A$2:$A$35,0))-INDEX('Conversion Range'!$C$2:$C$35,MATCH(J$1,'Conversion Range'!$A$2:$A$35,0)))),3))</f>
        <v>2.9740000000000002</v>
      </c>
      <c r="K19" s="15">
        <f>IF('Legend Attributes'!K19=0,0,ROUND(IF(INDEX('Conversion Range'!$E$2:$E$35,MATCH(K$1,'Conversion Range'!$A$2:$A$35,0))=1,INDEX('Conversion Range'!$D$2:$D$35,MATCH(K$1,'Conversion Range'!$A$2:$A$35,0))-(('Legend Attributes'!K19-1)/19)*(INDEX('Conversion Range'!$D$2:$D$35,MATCH(K$1,'Conversion Range'!$A$2:$A$35,0))-INDEX('Conversion Range'!$C$2:$C$35,MATCH(K$1,'Conversion Range'!$A$2:$A$35,0))),INDEX('Conversion Range'!$C$2:$C$35,MATCH(K$1,'Conversion Range'!$A$2:$A$35,0))+(('Legend Attributes'!K19-1)/19)*(INDEX('Conversion Range'!$D$2:$D$35,MATCH(K$1,'Conversion Range'!$A$2:$A$35,0))-INDEX('Conversion Range'!$C$2:$C$35,MATCH(K$1,'Conversion Range'!$A$2:$A$35,0)))),3))</f>
        <v>1.7210000000000001</v>
      </c>
      <c r="L19" s="15">
        <f>IF('Legend Attributes'!L19=0,0,ROUND(IF(INDEX('Conversion Range'!$E$2:$E$35,MATCH(L$1,'Conversion Range'!$A$2:$A$35,0))=1,INDEX('Conversion Range'!$D$2:$D$35,MATCH(L$1,'Conversion Range'!$A$2:$A$35,0))-(('Legend Attributes'!L19-1)/19)*(INDEX('Conversion Range'!$D$2:$D$35,MATCH(L$1,'Conversion Range'!$A$2:$A$35,0))-INDEX('Conversion Range'!$C$2:$C$35,MATCH(L$1,'Conversion Range'!$A$2:$A$35,0))),INDEX('Conversion Range'!$C$2:$C$35,MATCH(L$1,'Conversion Range'!$A$2:$A$35,0))+(('Legend Attributes'!L19-1)/19)*(INDEX('Conversion Range'!$D$2:$D$35,MATCH(L$1,'Conversion Range'!$A$2:$A$35,0))-INDEX('Conversion Range'!$C$2:$C$35,MATCH(L$1,'Conversion Range'!$A$2:$A$35,0)))),3))</f>
        <v>5.2210000000000001</v>
      </c>
      <c r="M19" s="15">
        <f>IF('Legend Attributes'!M19=0,0,ROUND(IF(INDEX('Conversion Range'!$E$2:$E$35,MATCH(M$1,'Conversion Range'!$A$2:$A$35,0))=1,INDEX('Conversion Range'!$D$2:$D$35,MATCH(M$1,'Conversion Range'!$A$2:$A$35,0))-(('Legend Attributes'!M19-1)/19)*(INDEX('Conversion Range'!$D$2:$D$35,MATCH(M$1,'Conversion Range'!$A$2:$A$35,0))-INDEX('Conversion Range'!$C$2:$C$35,MATCH(M$1,'Conversion Range'!$A$2:$A$35,0))),INDEX('Conversion Range'!$C$2:$C$35,MATCH(M$1,'Conversion Range'!$A$2:$A$35,0))+(('Legend Attributes'!M19-1)/19)*(INDEX('Conversion Range'!$D$2:$D$35,MATCH(M$1,'Conversion Range'!$A$2:$A$35,0))-INDEX('Conversion Range'!$C$2:$C$35,MATCH(M$1,'Conversion Range'!$A$2:$A$35,0)))),3))</f>
        <v>0.75800000000000001</v>
      </c>
      <c r="N19" s="15">
        <f>IF('Legend Attributes'!N19=0,0,ROUND(IF(INDEX('Conversion Range'!$E$2:$E$35,MATCH(N$1,'Conversion Range'!$A$2:$A$35,0))=1,INDEX('Conversion Range'!$D$2:$D$35,MATCH(N$1,'Conversion Range'!$A$2:$A$35,0))-(('Legend Attributes'!N19-1)/19)*(INDEX('Conversion Range'!$D$2:$D$35,MATCH(N$1,'Conversion Range'!$A$2:$A$35,0))-INDEX('Conversion Range'!$C$2:$C$35,MATCH(N$1,'Conversion Range'!$A$2:$A$35,0))),INDEX('Conversion Range'!$C$2:$C$35,MATCH(N$1,'Conversion Range'!$A$2:$A$35,0))+(('Legend Attributes'!N19-1)/19)*(INDEX('Conversion Range'!$D$2:$D$35,MATCH(N$1,'Conversion Range'!$A$2:$A$35,0))-INDEX('Conversion Range'!$C$2:$C$35,MATCH(N$1,'Conversion Range'!$A$2:$A$35,0)))),3))</f>
        <v>7.9210000000000003</v>
      </c>
      <c r="O19" s="15">
        <f>IF('Legend Attributes'!O19=0,0,ROUND(IF(INDEX('Conversion Range'!$E$2:$E$35,MATCH(O$1,'Conversion Range'!$A$2:$A$35,0))=1,INDEX('Conversion Range'!$D$2:$D$35,MATCH(O$1,'Conversion Range'!$A$2:$A$35,0))-(('Legend Attributes'!O19-1)/19)*(INDEX('Conversion Range'!$D$2:$D$35,MATCH(O$1,'Conversion Range'!$A$2:$A$35,0))-INDEX('Conversion Range'!$C$2:$C$35,MATCH(O$1,'Conversion Range'!$A$2:$A$35,0))),INDEX('Conversion Range'!$C$2:$C$35,MATCH(O$1,'Conversion Range'!$A$2:$A$35,0))+(('Legend Attributes'!O19-1)/19)*(INDEX('Conversion Range'!$D$2:$D$35,MATCH(O$1,'Conversion Range'!$A$2:$A$35,0))-INDEX('Conversion Range'!$C$2:$C$35,MATCH(O$1,'Conversion Range'!$A$2:$A$35,0)))),3))</f>
        <v>0.1</v>
      </c>
      <c r="P19" s="15">
        <f>IF('Legend Attributes'!P19=0,0,ROUND(IF(INDEX('Conversion Range'!$E$2:$E$35,MATCH(P$1,'Conversion Range'!$A$2:$A$35,0))=1,INDEX('Conversion Range'!$D$2:$D$35,MATCH(P$1,'Conversion Range'!$A$2:$A$35,0))-(('Legend Attributes'!P19-1)/19)*(INDEX('Conversion Range'!$D$2:$D$35,MATCH(P$1,'Conversion Range'!$A$2:$A$35,0))-INDEX('Conversion Range'!$C$2:$C$35,MATCH(P$1,'Conversion Range'!$A$2:$A$35,0))),INDEX('Conversion Range'!$C$2:$C$35,MATCH(P$1,'Conversion Range'!$A$2:$A$35,0))+(('Legend Attributes'!P19-1)/19)*(INDEX('Conversion Range'!$D$2:$D$35,MATCH(P$1,'Conversion Range'!$A$2:$A$35,0))-INDEX('Conversion Range'!$C$2:$C$35,MATCH(P$1,'Conversion Range'!$A$2:$A$35,0)))),3))</f>
        <v>47.368000000000002</v>
      </c>
      <c r="Q19" s="15">
        <f>IF('Legend Attributes'!Q19=0,0,ROUND(IF(INDEX('Conversion Range'!$E$2:$E$35,MATCH(Q$1,'Conversion Range'!$A$2:$A$35,0))=1,INDEX('Conversion Range'!$D$2:$D$35,MATCH(Q$1,'Conversion Range'!$A$2:$A$35,0))-(('Legend Attributes'!Q19-1)/19)*(INDEX('Conversion Range'!$D$2:$D$35,MATCH(Q$1,'Conversion Range'!$A$2:$A$35,0))-INDEX('Conversion Range'!$C$2:$C$35,MATCH(Q$1,'Conversion Range'!$A$2:$A$35,0))),INDEX('Conversion Range'!$C$2:$C$35,MATCH(Q$1,'Conversion Range'!$A$2:$A$35,0))+(('Legend Attributes'!Q19-1)/19)*(INDEX('Conversion Range'!$D$2:$D$35,MATCH(Q$1,'Conversion Range'!$A$2:$A$35,0))-INDEX('Conversion Range'!$C$2:$C$35,MATCH(Q$1,'Conversion Range'!$A$2:$A$35,0)))),3))</f>
        <v>66.263000000000005</v>
      </c>
      <c r="R19" s="15">
        <f>IF('Legend Attributes'!R19=0,0,ROUND(IF(INDEX('Conversion Range'!$E$2:$E$35,MATCH(R$1,'Conversion Range'!$A$2:$A$35,0))=1,INDEX('Conversion Range'!$D$2:$D$35,MATCH(R$1,'Conversion Range'!$A$2:$A$35,0))-(('Legend Attributes'!R19-1)/19)*(INDEX('Conversion Range'!$D$2:$D$35,MATCH(R$1,'Conversion Range'!$A$2:$A$35,0))-INDEX('Conversion Range'!$C$2:$C$35,MATCH(R$1,'Conversion Range'!$A$2:$A$35,0))),INDEX('Conversion Range'!$C$2:$C$35,MATCH(R$1,'Conversion Range'!$A$2:$A$35,0))+(('Legend Attributes'!R19-1)/19)*(INDEX('Conversion Range'!$D$2:$D$35,MATCH(R$1,'Conversion Range'!$A$2:$A$35,0))-INDEX('Conversion Range'!$C$2:$C$35,MATCH(R$1,'Conversion Range'!$A$2:$A$35,0)))),3))</f>
        <v>71.841999999999999</v>
      </c>
      <c r="S19" s="15">
        <f>IF('Legend Attributes'!S19=0,0,ROUND(IF(INDEX('Conversion Range'!$E$2:$E$35,MATCH(S$1,'Conversion Range'!$A$2:$A$35,0))=1,INDEX('Conversion Range'!$D$2:$D$35,MATCH(S$1,'Conversion Range'!$A$2:$A$35,0))-(('Legend Attributes'!S19-1)/19)*(INDEX('Conversion Range'!$D$2:$D$35,MATCH(S$1,'Conversion Range'!$A$2:$A$35,0))-INDEX('Conversion Range'!$C$2:$C$35,MATCH(S$1,'Conversion Range'!$A$2:$A$35,0))),INDEX('Conversion Range'!$C$2:$C$35,MATCH(S$1,'Conversion Range'!$A$2:$A$35,0))+(('Legend Attributes'!S19-1)/19)*(INDEX('Conversion Range'!$D$2:$D$35,MATCH(S$1,'Conversion Range'!$A$2:$A$35,0))-INDEX('Conversion Range'!$C$2:$C$35,MATCH(S$1,'Conversion Range'!$A$2:$A$35,0)))),3))</f>
        <v>1.595</v>
      </c>
      <c r="T19" s="15">
        <f>IF('Legend Attributes'!T19=0,0,ROUND(IF(INDEX('Conversion Range'!$E$2:$E$35,MATCH(T$1,'Conversion Range'!$A$2:$A$35,0))=1,INDEX('Conversion Range'!$D$2:$D$35,MATCH(T$1,'Conversion Range'!$A$2:$A$35,0))-(('Legend Attributes'!T19-1)/19)*(INDEX('Conversion Range'!$D$2:$D$35,MATCH(T$1,'Conversion Range'!$A$2:$A$35,0))-INDEX('Conversion Range'!$C$2:$C$35,MATCH(T$1,'Conversion Range'!$A$2:$A$35,0))),INDEX('Conversion Range'!$C$2:$C$35,MATCH(T$1,'Conversion Range'!$A$2:$A$35,0))+(('Legend Attributes'!T19-1)/19)*(INDEX('Conversion Range'!$D$2:$D$35,MATCH(T$1,'Conversion Range'!$A$2:$A$35,0))-INDEX('Conversion Range'!$C$2:$C$35,MATCH(T$1,'Conversion Range'!$A$2:$A$35,0)))),3))</f>
        <v>43.104999999999997</v>
      </c>
      <c r="U19" s="15">
        <f>IF('Legend Attributes'!U19=0,0,ROUND(IF(INDEX('Conversion Range'!$E$2:$E$35,MATCH(U$1,'Conversion Range'!$A$2:$A$35,0))=1,INDEX('Conversion Range'!$D$2:$D$35,MATCH(U$1,'Conversion Range'!$A$2:$A$35,0))-(('Legend Attributes'!U19-1)/19)*(INDEX('Conversion Range'!$D$2:$D$35,MATCH(U$1,'Conversion Range'!$A$2:$A$35,0))-INDEX('Conversion Range'!$C$2:$C$35,MATCH(U$1,'Conversion Range'!$A$2:$A$35,0))),INDEX('Conversion Range'!$C$2:$C$35,MATCH(U$1,'Conversion Range'!$A$2:$A$35,0))+(('Legend Attributes'!U19-1)/19)*(INDEX('Conversion Range'!$D$2:$D$35,MATCH(U$1,'Conversion Range'!$A$2:$A$35,0))-INDEX('Conversion Range'!$C$2:$C$35,MATCH(U$1,'Conversion Range'!$A$2:$A$35,0)))),3))</f>
        <v>4.9530000000000003</v>
      </c>
      <c r="V19" s="15">
        <f>IF('Legend Attributes'!V19=0,0,ROUND(IF(INDEX('Conversion Range'!$E$2:$E$35,MATCH(V$1,'Conversion Range'!$A$2:$A$35,0))=1,INDEX('Conversion Range'!$D$2:$D$35,MATCH(V$1,'Conversion Range'!$A$2:$A$35,0))-(('Legend Attributes'!V19-1)/19)*(INDEX('Conversion Range'!$D$2:$D$35,MATCH(V$1,'Conversion Range'!$A$2:$A$35,0))-INDEX('Conversion Range'!$C$2:$C$35,MATCH(V$1,'Conversion Range'!$A$2:$A$35,0))),INDEX('Conversion Range'!$C$2:$C$35,MATCH(V$1,'Conversion Range'!$A$2:$A$35,0))+(('Legend Attributes'!V19-1)/19)*(INDEX('Conversion Range'!$D$2:$D$35,MATCH(V$1,'Conversion Range'!$A$2:$A$35,0))-INDEX('Conversion Range'!$C$2:$C$35,MATCH(V$1,'Conversion Range'!$A$2:$A$35,0)))),3))</f>
        <v>67.894999999999996</v>
      </c>
      <c r="W19" s="15">
        <f>IF('Legend Attributes'!W19=0,0,ROUND(IF(INDEX('Conversion Range'!$E$2:$E$35,MATCH(W$1,'Conversion Range'!$A$2:$A$35,0))=1,INDEX('Conversion Range'!$D$2:$D$35,MATCH(W$1,'Conversion Range'!$A$2:$A$35,0))-(('Legend Attributes'!W19-1)/19)*(INDEX('Conversion Range'!$D$2:$D$35,MATCH(W$1,'Conversion Range'!$A$2:$A$35,0))-INDEX('Conversion Range'!$C$2:$C$35,MATCH(W$1,'Conversion Range'!$A$2:$A$35,0))),INDEX('Conversion Range'!$C$2:$C$35,MATCH(W$1,'Conversion Range'!$A$2:$A$35,0))+(('Legend Attributes'!W19-1)/19)*(INDEX('Conversion Range'!$D$2:$D$35,MATCH(W$1,'Conversion Range'!$A$2:$A$35,0))-INDEX('Conversion Range'!$C$2:$C$35,MATCH(W$1,'Conversion Range'!$A$2:$A$35,0)))),3))</f>
        <v>0</v>
      </c>
      <c r="X19" s="15">
        <f>IF('Legend Attributes'!X19=0,0,ROUND(IF(INDEX('Conversion Range'!$E$2:$E$35,MATCH(X$1,'Conversion Range'!$A$2:$A$35,0))=1,INDEX('Conversion Range'!$D$2:$D$35,MATCH(X$1,'Conversion Range'!$A$2:$A$35,0))-(('Legend Attributes'!X19-1)/19)*(INDEX('Conversion Range'!$D$2:$D$35,MATCH(X$1,'Conversion Range'!$A$2:$A$35,0))-INDEX('Conversion Range'!$C$2:$C$35,MATCH(X$1,'Conversion Range'!$A$2:$A$35,0))),INDEX('Conversion Range'!$C$2:$C$35,MATCH(X$1,'Conversion Range'!$A$2:$A$35,0))+(('Legend Attributes'!X19-1)/19)*(INDEX('Conversion Range'!$D$2:$D$35,MATCH(X$1,'Conversion Range'!$A$2:$A$35,0))-INDEX('Conversion Range'!$C$2:$C$35,MATCH(X$1,'Conversion Range'!$A$2:$A$35,0)))),3))</f>
        <v>0</v>
      </c>
      <c r="Y19" s="15">
        <f>IF('Legend Attributes'!Y19=0,0,ROUND(IF(INDEX('Conversion Range'!$E$2:$E$35,MATCH(Y$1,'Conversion Range'!$A$2:$A$35,0))=1,INDEX('Conversion Range'!$D$2:$D$35,MATCH(Y$1,'Conversion Range'!$A$2:$A$35,0))-(('Legend Attributes'!Y19-1)/19)*(INDEX('Conversion Range'!$D$2:$D$35,MATCH(Y$1,'Conversion Range'!$A$2:$A$35,0))-INDEX('Conversion Range'!$C$2:$C$35,MATCH(Y$1,'Conversion Range'!$A$2:$A$35,0))),INDEX('Conversion Range'!$C$2:$C$35,MATCH(Y$1,'Conversion Range'!$A$2:$A$35,0))+(('Legend Attributes'!Y19-1)/19)*(INDEX('Conversion Range'!$D$2:$D$35,MATCH(Y$1,'Conversion Range'!$A$2:$A$35,0))-INDEX('Conversion Range'!$C$2:$C$35,MATCH(Y$1,'Conversion Range'!$A$2:$A$35,0)))),3))</f>
        <v>0.14199999999999999</v>
      </c>
      <c r="Z19" s="15">
        <f>IF('Legend Attributes'!Z19=0,0,ROUND(IF(INDEX('Conversion Range'!$E$2:$E$35,MATCH(Z$1,'Conversion Range'!$A$2:$A$35,0))=1,INDEX('Conversion Range'!$D$2:$D$35,MATCH(Z$1,'Conversion Range'!$A$2:$A$35,0))-(('Legend Attributes'!Z19-1)/19)*(INDEX('Conversion Range'!$D$2:$D$35,MATCH(Z$1,'Conversion Range'!$A$2:$A$35,0))-INDEX('Conversion Range'!$C$2:$C$35,MATCH(Z$1,'Conversion Range'!$A$2:$A$35,0))),INDEX('Conversion Range'!$C$2:$C$35,MATCH(Z$1,'Conversion Range'!$A$2:$A$35,0))+(('Legend Attributes'!Z19-1)/19)*(INDEX('Conversion Range'!$D$2:$D$35,MATCH(Z$1,'Conversion Range'!$A$2:$A$35,0))-INDEX('Conversion Range'!$C$2:$C$35,MATCH(Z$1,'Conversion Range'!$A$2:$A$35,0)))),3))</f>
        <v>5.4740000000000002</v>
      </c>
      <c r="AA19" s="15">
        <f>IF('Legend Attributes'!AA19=0,0,ROUND(IF(INDEX('Conversion Range'!$E$2:$E$35,MATCH(AA$1,'Conversion Range'!$A$2:$A$35,0))=1,INDEX('Conversion Range'!$D$2:$D$35,MATCH(AA$1,'Conversion Range'!$A$2:$A$35,0))-(('Legend Attributes'!AA19-1)/19)*(INDEX('Conversion Range'!$D$2:$D$35,MATCH(AA$1,'Conversion Range'!$A$2:$A$35,0))-INDEX('Conversion Range'!$C$2:$C$35,MATCH(AA$1,'Conversion Range'!$A$2:$A$35,0))),INDEX('Conversion Range'!$C$2:$C$35,MATCH(AA$1,'Conversion Range'!$A$2:$A$35,0))+(('Legend Attributes'!AA19-1)/19)*(INDEX('Conversion Range'!$D$2:$D$35,MATCH(AA$1,'Conversion Range'!$A$2:$A$35,0))-INDEX('Conversion Range'!$C$2:$C$35,MATCH(AA$1,'Conversion Range'!$A$2:$A$35,0)))),3))</f>
        <v>0</v>
      </c>
      <c r="AB19" s="15">
        <f>IF('Legend Attributes'!AB19=0,0,ROUND(IF(INDEX('Conversion Range'!$E$2:$E$35,MATCH(AB$1,'Conversion Range'!$A$2:$A$35,0))=1,INDEX('Conversion Range'!$D$2:$D$35,MATCH(AB$1,'Conversion Range'!$A$2:$A$35,0))-(('Legend Attributes'!AB19-1)/19)*(INDEX('Conversion Range'!$D$2:$D$35,MATCH(AB$1,'Conversion Range'!$A$2:$A$35,0))-INDEX('Conversion Range'!$C$2:$C$35,MATCH(AB$1,'Conversion Range'!$A$2:$A$35,0))),INDEX('Conversion Range'!$C$2:$C$35,MATCH(AB$1,'Conversion Range'!$A$2:$A$35,0))+(('Legend Attributes'!AB19-1)/19)*(INDEX('Conversion Range'!$D$2:$D$35,MATCH(AB$1,'Conversion Range'!$A$2:$A$35,0))-INDEX('Conversion Range'!$C$2:$C$35,MATCH(AB$1,'Conversion Range'!$A$2:$A$35,0)))),3))</f>
        <v>0.14499999999999999</v>
      </c>
      <c r="AC19" s="15">
        <f>IF('Legend Attributes'!AC19=0,0,ROUND(IF(INDEX('Conversion Range'!$E$2:$E$35,MATCH(AC$1,'Conversion Range'!$A$2:$A$35,0))=1,INDEX('Conversion Range'!$D$2:$D$35,MATCH(AC$1,'Conversion Range'!$A$2:$A$35,0))-(('Legend Attributes'!AC19-1)/19)*(INDEX('Conversion Range'!$D$2:$D$35,MATCH(AC$1,'Conversion Range'!$A$2:$A$35,0))-INDEX('Conversion Range'!$C$2:$C$35,MATCH(AC$1,'Conversion Range'!$A$2:$A$35,0))),INDEX('Conversion Range'!$C$2:$C$35,MATCH(AC$1,'Conversion Range'!$A$2:$A$35,0))+(('Legend Attributes'!AC19-1)/19)*(INDEX('Conversion Range'!$D$2:$D$35,MATCH(AC$1,'Conversion Range'!$A$2:$A$35,0))-INDEX('Conversion Range'!$C$2:$C$35,MATCH(AC$1,'Conversion Range'!$A$2:$A$35,0)))),3))</f>
        <v>0.16700000000000001</v>
      </c>
      <c r="AD19" s="15">
        <f>IF('Legend Attributes'!AD19=0,0,ROUND(IF(INDEX('Conversion Range'!$E$2:$E$35,MATCH(AD$1,'Conversion Range'!$A$2:$A$35,0))=1,INDEX('Conversion Range'!$D$2:$D$35,MATCH(AD$1,'Conversion Range'!$A$2:$A$35,0))-(('Legend Attributes'!AD19-1)/19)*(INDEX('Conversion Range'!$D$2:$D$35,MATCH(AD$1,'Conversion Range'!$A$2:$A$35,0))-INDEX('Conversion Range'!$C$2:$C$35,MATCH(AD$1,'Conversion Range'!$A$2:$A$35,0))),INDEX('Conversion Range'!$C$2:$C$35,MATCH(AD$1,'Conversion Range'!$A$2:$A$35,0))+(('Legend Attributes'!AD19-1)/19)*(INDEX('Conversion Range'!$D$2:$D$35,MATCH(AD$1,'Conversion Range'!$A$2:$A$35,0))-INDEX('Conversion Range'!$C$2:$C$35,MATCH(AD$1,'Conversion Range'!$A$2:$A$35,0)))),3))</f>
        <v>0</v>
      </c>
      <c r="AE19" s="15">
        <f>IF('Legend Attributes'!AE19=0,0,ROUND(IF(INDEX('Conversion Range'!$E$2:$E$35,MATCH(AE$1,'Conversion Range'!$A$2:$A$35,0))=1,INDEX('Conversion Range'!$D$2:$D$35,MATCH(AE$1,'Conversion Range'!$A$2:$A$35,0))-(('Legend Attributes'!AE19-1)/19)*(INDEX('Conversion Range'!$D$2:$D$35,MATCH(AE$1,'Conversion Range'!$A$2:$A$35,0))-INDEX('Conversion Range'!$C$2:$C$35,MATCH(AE$1,'Conversion Range'!$A$2:$A$35,0))),INDEX('Conversion Range'!$C$2:$C$35,MATCH(AE$1,'Conversion Range'!$A$2:$A$35,0))+(('Legend Attributes'!AE19-1)/19)*(INDEX('Conversion Range'!$D$2:$D$35,MATCH(AE$1,'Conversion Range'!$A$2:$A$35,0))-INDEX('Conversion Range'!$C$2:$C$35,MATCH(AE$1,'Conversion Range'!$A$2:$A$35,0)))),3))</f>
        <v>0</v>
      </c>
      <c r="AF19" s="15">
        <f>IF('Legend Attributes'!AF19=0,0,ROUND(IF(INDEX('Conversion Range'!$E$2:$E$35,MATCH(AF$1,'Conversion Range'!$A$2:$A$35,0))=1,INDEX('Conversion Range'!$D$2:$D$35,MATCH(AF$1,'Conversion Range'!$A$2:$A$35,0))-(('Legend Attributes'!AF19-1)/19)*(INDEX('Conversion Range'!$D$2:$D$35,MATCH(AF$1,'Conversion Range'!$A$2:$A$35,0))-INDEX('Conversion Range'!$C$2:$C$35,MATCH(AF$1,'Conversion Range'!$A$2:$A$35,0))),INDEX('Conversion Range'!$C$2:$C$35,MATCH(AF$1,'Conversion Range'!$A$2:$A$35,0))+(('Legend Attributes'!AF19-1)/19)*(INDEX('Conversion Range'!$D$2:$D$35,MATCH(AF$1,'Conversion Range'!$A$2:$A$35,0))-INDEX('Conversion Range'!$C$2:$C$35,MATCH(AF$1,'Conversion Range'!$A$2:$A$35,0)))),3))</f>
        <v>0</v>
      </c>
      <c r="AG19" s="15">
        <f>IF('Legend Attributes'!AG19=0,0,ROUND(IF(INDEX('Conversion Range'!$E$2:$E$35,MATCH(AG$1,'Conversion Range'!$A$2:$A$35,0))=1,INDEX('Conversion Range'!$D$2:$D$35,MATCH(AG$1,'Conversion Range'!$A$2:$A$35,0))-(('Legend Attributes'!AG19-1)/19)*(INDEX('Conversion Range'!$D$2:$D$35,MATCH(AG$1,'Conversion Range'!$A$2:$A$35,0))-INDEX('Conversion Range'!$C$2:$C$35,MATCH(AG$1,'Conversion Range'!$A$2:$A$35,0))),INDEX('Conversion Range'!$C$2:$C$35,MATCH(AG$1,'Conversion Range'!$A$2:$A$35,0))+(('Legend Attributes'!AG19-1)/19)*(INDEX('Conversion Range'!$D$2:$D$35,MATCH(AG$1,'Conversion Range'!$A$2:$A$35,0))-INDEX('Conversion Range'!$C$2:$C$35,MATCH(AG$1,'Conversion Range'!$A$2:$A$35,0)))),3))</f>
        <v>0.81599999999999995</v>
      </c>
      <c r="AH19" s="15">
        <f>IF('Legend Attributes'!AH19=0,0,ROUND(IF(INDEX('Conversion Range'!$E$2:$E$35,MATCH(AH$1,'Conversion Range'!$A$2:$A$35,0))=1,INDEX('Conversion Range'!$D$2:$D$35,MATCH(AH$1,'Conversion Range'!$A$2:$A$35,0))-(('Legend Attributes'!AH19-1)/19)*(INDEX('Conversion Range'!$D$2:$D$35,MATCH(AH$1,'Conversion Range'!$A$2:$A$35,0))-INDEX('Conversion Range'!$C$2:$C$35,MATCH(AH$1,'Conversion Range'!$A$2:$A$35,0))),INDEX('Conversion Range'!$C$2:$C$35,MATCH(AH$1,'Conversion Range'!$A$2:$A$35,0))+(('Legend Attributes'!AH19-1)/19)*(INDEX('Conversion Range'!$D$2:$D$35,MATCH(AH$1,'Conversion Range'!$A$2:$A$35,0))-INDEX('Conversion Range'!$C$2:$C$35,MATCH(AH$1,'Conversion Range'!$A$2:$A$35,0)))),3))</f>
        <v>0.29199999999999998</v>
      </c>
      <c r="AI19" s="15">
        <f>IF('Legend Attributes'!AI19=0,0,ROUND(IF(INDEX('Conversion Range'!$E$2:$E$35,MATCH(AI$1,'Conversion Range'!$A$2:$A$35,0))=1,INDEX('Conversion Range'!$D$2:$D$35,MATCH(AI$1,'Conversion Range'!$A$2:$A$35,0))-(('Legend Attributes'!AI19-1)/19)*(INDEX('Conversion Range'!$D$2:$D$35,MATCH(AI$1,'Conversion Range'!$A$2:$A$35,0))-INDEX('Conversion Range'!$C$2:$C$35,MATCH(AI$1,'Conversion Range'!$A$2:$A$35,0))),INDEX('Conversion Range'!$C$2:$C$35,MATCH(AI$1,'Conversion Range'!$A$2:$A$35,0))+(('Legend Attributes'!AI19-1)/19)*(INDEX('Conversion Range'!$D$2:$D$35,MATCH(AI$1,'Conversion Range'!$A$2:$A$35,0))-INDEX('Conversion Range'!$C$2:$C$35,MATCH(AI$1,'Conversion Range'!$A$2:$A$35,0)))),3))</f>
        <v>8.2000000000000003E-2</v>
      </c>
      <c r="AJ19" s="15">
        <f>IF('Legend Attributes'!AJ19=0,0,ROUND(IF(INDEX('Conversion Range'!$E$2:$E$35,MATCH(AJ$1,'Conversion Range'!$A$2:$A$35,0))=1,INDEX('Conversion Range'!$D$2:$D$35,MATCH(AJ$1,'Conversion Range'!$A$2:$A$35,0))-(('Legend Attributes'!AJ19-1)/19)*(INDEX('Conversion Range'!$D$2:$D$35,MATCH(AJ$1,'Conversion Range'!$A$2:$A$35,0))-INDEX('Conversion Range'!$C$2:$C$35,MATCH(AJ$1,'Conversion Range'!$A$2:$A$35,0))),INDEX('Conversion Range'!$C$2:$C$35,MATCH(AJ$1,'Conversion Range'!$A$2:$A$35,0))+(('Legend Attributes'!AJ19-1)/19)*(INDEX('Conversion Range'!$D$2:$D$35,MATCH(AJ$1,'Conversion Range'!$A$2:$A$35,0))-INDEX('Conversion Range'!$C$2:$C$35,MATCH(AJ$1,'Conversion Range'!$A$2:$A$35,0)))),3))</f>
        <v>7.9160000000000004</v>
      </c>
    </row>
    <row r="20" spans="1:36" x14ac:dyDescent="0.35">
      <c r="A20" s="14" t="str">
        <f>'Legend Attributes'!A20</f>
        <v>Thiago Silva</v>
      </c>
      <c r="B20" s="15" t="str">
        <f>'Legend Attributes'!B20</f>
        <v>CB</v>
      </c>
      <c r="C20" s="15">
        <f>IF('Legend Attributes'!C20=0,0,ROUND(IF(INDEX('Conversion Range'!$E$2:$E$35,MATCH(C$1,'Conversion Range'!$A$2:$A$35,0))=1,INDEX('Conversion Range'!$D$2:$D$35,MATCH(C$1,'Conversion Range'!$A$2:$A$35,0))-(('Legend Attributes'!C20-1)/19)*(INDEX('Conversion Range'!$D$2:$D$35,MATCH(C$1,'Conversion Range'!$A$2:$A$35,0))-INDEX('Conversion Range'!$C$2:$C$35,MATCH(C$1,'Conversion Range'!$A$2:$A$35,0))),INDEX('Conversion Range'!$C$2:$C$35,MATCH(C$1,'Conversion Range'!$A$2:$A$35,0))+(('Legend Attributes'!C20-1)/19)*(INDEX('Conversion Range'!$D$2:$D$35,MATCH(C$1,'Conversion Range'!$A$2:$A$35,0))-INDEX('Conversion Range'!$C$2:$C$35,MATCH(C$1,'Conversion Range'!$A$2:$A$35,0)))),3))</f>
        <v>6.4000000000000001E-2</v>
      </c>
      <c r="D20" s="15">
        <f>IF('Legend Attributes'!D20=0,0,ROUND(IF(INDEX('Conversion Range'!$E$2:$E$35,MATCH(D$1,'Conversion Range'!$A$2:$A$35,0))=1,INDEX('Conversion Range'!$D$2:$D$35,MATCH(D$1,'Conversion Range'!$A$2:$A$35,0))-(('Legend Attributes'!D20-1)/19)*(INDEX('Conversion Range'!$D$2:$D$35,MATCH(D$1,'Conversion Range'!$A$2:$A$35,0))-INDEX('Conversion Range'!$C$2:$C$35,MATCH(D$1,'Conversion Range'!$A$2:$A$35,0))),INDEX('Conversion Range'!$C$2:$C$35,MATCH(D$1,'Conversion Range'!$A$2:$A$35,0))+(('Legend Attributes'!D20-1)/19)*(INDEX('Conversion Range'!$D$2:$D$35,MATCH(D$1,'Conversion Range'!$A$2:$A$35,0))-INDEX('Conversion Range'!$C$2:$C$35,MATCH(D$1,'Conversion Range'!$A$2:$A$35,0)))),3))</f>
        <v>5.8000000000000003E-2</v>
      </c>
      <c r="E20" s="15">
        <f>IF('Legend Attributes'!E20=0,0,ROUND(IF(INDEX('Conversion Range'!$E$2:$E$35,MATCH(E$1,'Conversion Range'!$A$2:$A$35,0))=1,INDEX('Conversion Range'!$D$2:$D$35,MATCH(E$1,'Conversion Range'!$A$2:$A$35,0))-(('Legend Attributes'!E20-1)/19)*(INDEX('Conversion Range'!$D$2:$D$35,MATCH(E$1,'Conversion Range'!$A$2:$A$35,0))-INDEX('Conversion Range'!$C$2:$C$35,MATCH(E$1,'Conversion Range'!$A$2:$A$35,0))),INDEX('Conversion Range'!$C$2:$C$35,MATCH(E$1,'Conversion Range'!$A$2:$A$35,0))+(('Legend Attributes'!E20-1)/19)*(INDEX('Conversion Range'!$D$2:$D$35,MATCH(E$1,'Conversion Range'!$A$2:$A$35,0))-INDEX('Conversion Range'!$C$2:$C$35,MATCH(E$1,'Conversion Range'!$A$2:$A$35,0)))),3))</f>
        <v>9.5000000000000001E-2</v>
      </c>
      <c r="F20" s="15">
        <f>IF('Legend Attributes'!F20=0,0,ROUND(IF(INDEX('Conversion Range'!$E$2:$E$35,MATCH(F$1,'Conversion Range'!$A$2:$A$35,0))=1,INDEX('Conversion Range'!$D$2:$D$35,MATCH(F$1,'Conversion Range'!$A$2:$A$35,0))-(('Legend Attributes'!F20-1)/19)*(INDEX('Conversion Range'!$D$2:$D$35,MATCH(F$1,'Conversion Range'!$A$2:$A$35,0))-INDEX('Conversion Range'!$C$2:$C$35,MATCH(F$1,'Conversion Range'!$A$2:$A$35,0))),INDEX('Conversion Range'!$C$2:$C$35,MATCH(F$1,'Conversion Range'!$A$2:$A$35,0))+(('Legend Attributes'!F20-1)/19)*(INDEX('Conversion Range'!$D$2:$D$35,MATCH(F$1,'Conversion Range'!$A$2:$A$35,0))-INDEX('Conversion Range'!$C$2:$C$35,MATCH(F$1,'Conversion Range'!$A$2:$A$35,0)))),3))</f>
        <v>0.35299999999999998</v>
      </c>
      <c r="G20" s="15">
        <f>IF('Legend Attributes'!G20=0,0,ROUND(IF(INDEX('Conversion Range'!$E$2:$E$35,MATCH(G$1,'Conversion Range'!$A$2:$A$35,0))=1,INDEX('Conversion Range'!$D$2:$D$35,MATCH(G$1,'Conversion Range'!$A$2:$A$35,0))-(('Legend Attributes'!G20-1)/19)*(INDEX('Conversion Range'!$D$2:$D$35,MATCH(G$1,'Conversion Range'!$A$2:$A$35,0))-INDEX('Conversion Range'!$C$2:$C$35,MATCH(G$1,'Conversion Range'!$A$2:$A$35,0))),INDEX('Conversion Range'!$C$2:$C$35,MATCH(G$1,'Conversion Range'!$A$2:$A$35,0))+(('Legend Attributes'!G20-1)/19)*(INDEX('Conversion Range'!$D$2:$D$35,MATCH(G$1,'Conversion Range'!$A$2:$A$35,0))-INDEX('Conversion Range'!$C$2:$C$35,MATCH(G$1,'Conversion Range'!$A$2:$A$35,0)))),3))</f>
        <v>0.19700000000000001</v>
      </c>
      <c r="H20" s="15">
        <f>IF('Legend Attributes'!H20=0,0,ROUND(IF(INDEX('Conversion Range'!$E$2:$E$35,MATCH(H$1,'Conversion Range'!$A$2:$A$35,0))=1,INDEX('Conversion Range'!$D$2:$D$35,MATCH(H$1,'Conversion Range'!$A$2:$A$35,0))-(('Legend Attributes'!H20-1)/19)*(INDEX('Conversion Range'!$D$2:$D$35,MATCH(H$1,'Conversion Range'!$A$2:$A$35,0))-INDEX('Conversion Range'!$C$2:$C$35,MATCH(H$1,'Conversion Range'!$A$2:$A$35,0))),INDEX('Conversion Range'!$C$2:$C$35,MATCH(H$1,'Conversion Range'!$A$2:$A$35,0))+(('Legend Attributes'!H20-1)/19)*(INDEX('Conversion Range'!$D$2:$D$35,MATCH(H$1,'Conversion Range'!$A$2:$A$35,0))-INDEX('Conversion Range'!$C$2:$C$35,MATCH(H$1,'Conversion Range'!$A$2:$A$35,0)))),3))</f>
        <v>5.2999999999999999E-2</v>
      </c>
      <c r="I20" s="15">
        <f>IF('Legend Attributes'!I20=0,0,ROUND(IF(INDEX('Conversion Range'!$E$2:$E$35,MATCH(I$1,'Conversion Range'!$A$2:$A$35,0))=1,INDEX('Conversion Range'!$D$2:$D$35,MATCH(I$1,'Conversion Range'!$A$2:$A$35,0))-(('Legend Attributes'!I20-1)/19)*(INDEX('Conversion Range'!$D$2:$D$35,MATCH(I$1,'Conversion Range'!$A$2:$A$35,0))-INDEX('Conversion Range'!$C$2:$C$35,MATCH(I$1,'Conversion Range'!$A$2:$A$35,0))),INDEX('Conversion Range'!$C$2:$C$35,MATCH(I$1,'Conversion Range'!$A$2:$A$35,0))+(('Legend Attributes'!I20-1)/19)*(INDEX('Conversion Range'!$D$2:$D$35,MATCH(I$1,'Conversion Range'!$A$2:$A$35,0))-INDEX('Conversion Range'!$C$2:$C$35,MATCH(I$1,'Conversion Range'!$A$2:$A$35,0)))),3))</f>
        <v>0.75800000000000001</v>
      </c>
      <c r="J20" s="15">
        <f>IF('Legend Attributes'!J20=0,0,ROUND(IF(INDEX('Conversion Range'!$E$2:$E$35,MATCH(J$1,'Conversion Range'!$A$2:$A$35,0))=1,INDEX('Conversion Range'!$D$2:$D$35,MATCH(J$1,'Conversion Range'!$A$2:$A$35,0))-(('Legend Attributes'!J20-1)/19)*(INDEX('Conversion Range'!$D$2:$D$35,MATCH(J$1,'Conversion Range'!$A$2:$A$35,0))-INDEX('Conversion Range'!$C$2:$C$35,MATCH(J$1,'Conversion Range'!$A$2:$A$35,0))),INDEX('Conversion Range'!$C$2:$C$35,MATCH(J$1,'Conversion Range'!$A$2:$A$35,0))+(('Legend Attributes'!J20-1)/19)*(INDEX('Conversion Range'!$D$2:$D$35,MATCH(J$1,'Conversion Range'!$A$2:$A$35,0))-INDEX('Conversion Range'!$C$2:$C$35,MATCH(J$1,'Conversion Range'!$A$2:$A$35,0)))),3))</f>
        <v>1.9950000000000001</v>
      </c>
      <c r="K20" s="15">
        <f>IF('Legend Attributes'!K20=0,0,ROUND(IF(INDEX('Conversion Range'!$E$2:$E$35,MATCH(K$1,'Conversion Range'!$A$2:$A$35,0))=1,INDEX('Conversion Range'!$D$2:$D$35,MATCH(K$1,'Conversion Range'!$A$2:$A$35,0))-(('Legend Attributes'!K20-1)/19)*(INDEX('Conversion Range'!$D$2:$D$35,MATCH(K$1,'Conversion Range'!$A$2:$A$35,0))-INDEX('Conversion Range'!$C$2:$C$35,MATCH(K$1,'Conversion Range'!$A$2:$A$35,0))),INDEX('Conversion Range'!$C$2:$C$35,MATCH(K$1,'Conversion Range'!$A$2:$A$35,0))+(('Legend Attributes'!K20-1)/19)*(INDEX('Conversion Range'!$D$2:$D$35,MATCH(K$1,'Conversion Range'!$A$2:$A$35,0))-INDEX('Conversion Range'!$C$2:$C$35,MATCH(K$1,'Conversion Range'!$A$2:$A$35,0)))),3))</f>
        <v>2.1840000000000002</v>
      </c>
      <c r="L20" s="15">
        <f>IF('Legend Attributes'!L20=0,0,ROUND(IF(INDEX('Conversion Range'!$E$2:$E$35,MATCH(L$1,'Conversion Range'!$A$2:$A$35,0))=1,INDEX('Conversion Range'!$D$2:$D$35,MATCH(L$1,'Conversion Range'!$A$2:$A$35,0))-(('Legend Attributes'!L20-1)/19)*(INDEX('Conversion Range'!$D$2:$D$35,MATCH(L$1,'Conversion Range'!$A$2:$A$35,0))-INDEX('Conversion Range'!$C$2:$C$35,MATCH(L$1,'Conversion Range'!$A$2:$A$35,0))),INDEX('Conversion Range'!$C$2:$C$35,MATCH(L$1,'Conversion Range'!$A$2:$A$35,0))+(('Legend Attributes'!L20-1)/19)*(INDEX('Conversion Range'!$D$2:$D$35,MATCH(L$1,'Conversion Range'!$A$2:$A$35,0))-INDEX('Conversion Range'!$C$2:$C$35,MATCH(L$1,'Conversion Range'!$A$2:$A$35,0)))),3))</f>
        <v>4.5679999999999996</v>
      </c>
      <c r="M20" s="15">
        <f>IF('Legend Attributes'!M20=0,0,ROUND(IF(INDEX('Conversion Range'!$E$2:$E$35,MATCH(M$1,'Conversion Range'!$A$2:$A$35,0))=1,INDEX('Conversion Range'!$D$2:$D$35,MATCH(M$1,'Conversion Range'!$A$2:$A$35,0))-(('Legend Attributes'!M20-1)/19)*(INDEX('Conversion Range'!$D$2:$D$35,MATCH(M$1,'Conversion Range'!$A$2:$A$35,0))-INDEX('Conversion Range'!$C$2:$C$35,MATCH(M$1,'Conversion Range'!$A$2:$A$35,0))),INDEX('Conversion Range'!$C$2:$C$35,MATCH(M$1,'Conversion Range'!$A$2:$A$35,0))+(('Legend Attributes'!M20-1)/19)*(INDEX('Conversion Range'!$D$2:$D$35,MATCH(M$1,'Conversion Range'!$A$2:$A$35,0))-INDEX('Conversion Range'!$C$2:$C$35,MATCH(M$1,'Conversion Range'!$A$2:$A$35,0)))),3))</f>
        <v>0.505</v>
      </c>
      <c r="N20" s="15">
        <f>IF('Legend Attributes'!N20=0,0,ROUND(IF(INDEX('Conversion Range'!$E$2:$E$35,MATCH(N$1,'Conversion Range'!$A$2:$A$35,0))=1,INDEX('Conversion Range'!$D$2:$D$35,MATCH(N$1,'Conversion Range'!$A$2:$A$35,0))-(('Legend Attributes'!N20-1)/19)*(INDEX('Conversion Range'!$D$2:$D$35,MATCH(N$1,'Conversion Range'!$A$2:$A$35,0))-INDEX('Conversion Range'!$C$2:$C$35,MATCH(N$1,'Conversion Range'!$A$2:$A$35,0))),INDEX('Conversion Range'!$C$2:$C$35,MATCH(N$1,'Conversion Range'!$A$2:$A$35,0))+(('Legend Attributes'!N20-1)/19)*(INDEX('Conversion Range'!$D$2:$D$35,MATCH(N$1,'Conversion Range'!$A$2:$A$35,0))-INDEX('Conversion Range'!$C$2:$C$35,MATCH(N$1,'Conversion Range'!$A$2:$A$35,0)))),3))</f>
        <v>7.5259999999999998</v>
      </c>
      <c r="O20" s="15">
        <f>IF('Legend Attributes'!O20=0,0,ROUND(IF(INDEX('Conversion Range'!$E$2:$E$35,MATCH(O$1,'Conversion Range'!$A$2:$A$35,0))=1,INDEX('Conversion Range'!$D$2:$D$35,MATCH(O$1,'Conversion Range'!$A$2:$A$35,0))-(('Legend Attributes'!O20-1)/19)*(INDEX('Conversion Range'!$D$2:$D$35,MATCH(O$1,'Conversion Range'!$A$2:$A$35,0))-INDEX('Conversion Range'!$C$2:$C$35,MATCH(O$1,'Conversion Range'!$A$2:$A$35,0))),INDEX('Conversion Range'!$C$2:$C$35,MATCH(O$1,'Conversion Range'!$A$2:$A$35,0))+(('Legend Attributes'!O20-1)/19)*(INDEX('Conversion Range'!$D$2:$D$35,MATCH(O$1,'Conversion Range'!$A$2:$A$35,0))-INDEX('Conversion Range'!$C$2:$C$35,MATCH(O$1,'Conversion Range'!$A$2:$A$35,0)))),3))</f>
        <v>0.753</v>
      </c>
      <c r="P20" s="15">
        <f>IF('Legend Attributes'!P20=0,0,ROUND(IF(INDEX('Conversion Range'!$E$2:$E$35,MATCH(P$1,'Conversion Range'!$A$2:$A$35,0))=1,INDEX('Conversion Range'!$D$2:$D$35,MATCH(P$1,'Conversion Range'!$A$2:$A$35,0))-(('Legend Attributes'!P20-1)/19)*(INDEX('Conversion Range'!$D$2:$D$35,MATCH(P$1,'Conversion Range'!$A$2:$A$35,0))-INDEX('Conversion Range'!$C$2:$C$35,MATCH(P$1,'Conversion Range'!$A$2:$A$35,0))),INDEX('Conversion Range'!$C$2:$C$35,MATCH(P$1,'Conversion Range'!$A$2:$A$35,0))+(('Legend Attributes'!P20-1)/19)*(INDEX('Conversion Range'!$D$2:$D$35,MATCH(P$1,'Conversion Range'!$A$2:$A$35,0))-INDEX('Conversion Range'!$C$2:$C$35,MATCH(P$1,'Conversion Range'!$A$2:$A$35,0)))),3))</f>
        <v>61.841999999999999</v>
      </c>
      <c r="Q20" s="15">
        <f>IF('Legend Attributes'!Q20=0,0,ROUND(IF(INDEX('Conversion Range'!$E$2:$E$35,MATCH(Q$1,'Conversion Range'!$A$2:$A$35,0))=1,INDEX('Conversion Range'!$D$2:$D$35,MATCH(Q$1,'Conversion Range'!$A$2:$A$35,0))-(('Legend Attributes'!Q20-1)/19)*(INDEX('Conversion Range'!$D$2:$D$35,MATCH(Q$1,'Conversion Range'!$A$2:$A$35,0))-INDEX('Conversion Range'!$C$2:$C$35,MATCH(Q$1,'Conversion Range'!$A$2:$A$35,0))),INDEX('Conversion Range'!$C$2:$C$35,MATCH(Q$1,'Conversion Range'!$A$2:$A$35,0))+(('Legend Attributes'!Q20-1)/19)*(INDEX('Conversion Range'!$D$2:$D$35,MATCH(Q$1,'Conversion Range'!$A$2:$A$35,0))-INDEX('Conversion Range'!$C$2:$C$35,MATCH(Q$1,'Conversion Range'!$A$2:$A$35,0)))),3))</f>
        <v>57.579000000000001</v>
      </c>
      <c r="R20" s="15">
        <f>IF('Legend Attributes'!R20=0,0,ROUND(IF(INDEX('Conversion Range'!$E$2:$E$35,MATCH(R$1,'Conversion Range'!$A$2:$A$35,0))=1,INDEX('Conversion Range'!$D$2:$D$35,MATCH(R$1,'Conversion Range'!$A$2:$A$35,0))-(('Legend Attributes'!R20-1)/19)*(INDEX('Conversion Range'!$D$2:$D$35,MATCH(R$1,'Conversion Range'!$A$2:$A$35,0))-INDEX('Conversion Range'!$C$2:$C$35,MATCH(R$1,'Conversion Range'!$A$2:$A$35,0))),INDEX('Conversion Range'!$C$2:$C$35,MATCH(R$1,'Conversion Range'!$A$2:$A$35,0))+(('Legend Attributes'!R20-1)/19)*(INDEX('Conversion Range'!$D$2:$D$35,MATCH(R$1,'Conversion Range'!$A$2:$A$35,0))-INDEX('Conversion Range'!$C$2:$C$35,MATCH(R$1,'Conversion Range'!$A$2:$A$35,0)))),3))</f>
        <v>84.474000000000004</v>
      </c>
      <c r="S20" s="15">
        <f>IF('Legend Attributes'!S20=0,0,ROUND(IF(INDEX('Conversion Range'!$E$2:$E$35,MATCH(S$1,'Conversion Range'!$A$2:$A$35,0))=1,INDEX('Conversion Range'!$D$2:$D$35,MATCH(S$1,'Conversion Range'!$A$2:$A$35,0))-(('Legend Attributes'!S20-1)/19)*(INDEX('Conversion Range'!$D$2:$D$35,MATCH(S$1,'Conversion Range'!$A$2:$A$35,0))-INDEX('Conversion Range'!$C$2:$C$35,MATCH(S$1,'Conversion Range'!$A$2:$A$35,0))),INDEX('Conversion Range'!$C$2:$C$35,MATCH(S$1,'Conversion Range'!$A$2:$A$35,0))+(('Legend Attributes'!S20-1)/19)*(INDEX('Conversion Range'!$D$2:$D$35,MATCH(S$1,'Conversion Range'!$A$2:$A$35,0))-INDEX('Conversion Range'!$C$2:$C$35,MATCH(S$1,'Conversion Range'!$A$2:$A$35,0)))),3))</f>
        <v>4.1840000000000002</v>
      </c>
      <c r="T20" s="15">
        <f>IF('Legend Attributes'!T20=0,0,ROUND(IF(INDEX('Conversion Range'!$E$2:$E$35,MATCH(T$1,'Conversion Range'!$A$2:$A$35,0))=1,INDEX('Conversion Range'!$D$2:$D$35,MATCH(T$1,'Conversion Range'!$A$2:$A$35,0))-(('Legend Attributes'!T20-1)/19)*(INDEX('Conversion Range'!$D$2:$D$35,MATCH(T$1,'Conversion Range'!$A$2:$A$35,0))-INDEX('Conversion Range'!$C$2:$C$35,MATCH(T$1,'Conversion Range'!$A$2:$A$35,0))),INDEX('Conversion Range'!$C$2:$C$35,MATCH(T$1,'Conversion Range'!$A$2:$A$35,0))+(('Legend Attributes'!T20-1)/19)*(INDEX('Conversion Range'!$D$2:$D$35,MATCH(T$1,'Conversion Range'!$A$2:$A$35,0))-INDEX('Conversion Range'!$C$2:$C$35,MATCH(T$1,'Conversion Range'!$A$2:$A$35,0)))),3))</f>
        <v>54.420999999999999</v>
      </c>
      <c r="U20" s="15">
        <f>IF('Legend Attributes'!U20=0,0,ROUND(IF(INDEX('Conversion Range'!$E$2:$E$35,MATCH(U$1,'Conversion Range'!$A$2:$A$35,0))=1,INDEX('Conversion Range'!$D$2:$D$35,MATCH(U$1,'Conversion Range'!$A$2:$A$35,0))-(('Legend Attributes'!U20-1)/19)*(INDEX('Conversion Range'!$D$2:$D$35,MATCH(U$1,'Conversion Range'!$A$2:$A$35,0))-INDEX('Conversion Range'!$C$2:$C$35,MATCH(U$1,'Conversion Range'!$A$2:$A$35,0))),INDEX('Conversion Range'!$C$2:$C$35,MATCH(U$1,'Conversion Range'!$A$2:$A$35,0))+(('Legend Attributes'!U20-1)/19)*(INDEX('Conversion Range'!$D$2:$D$35,MATCH(U$1,'Conversion Range'!$A$2:$A$35,0))-INDEX('Conversion Range'!$C$2:$C$35,MATCH(U$1,'Conversion Range'!$A$2:$A$35,0)))),3))</f>
        <v>3.8580000000000001</v>
      </c>
      <c r="V20" s="15">
        <f>IF('Legend Attributes'!V20=0,0,ROUND(IF(INDEX('Conversion Range'!$E$2:$E$35,MATCH(V$1,'Conversion Range'!$A$2:$A$35,0))=1,INDEX('Conversion Range'!$D$2:$D$35,MATCH(V$1,'Conversion Range'!$A$2:$A$35,0))-(('Legend Attributes'!V20-1)/19)*(INDEX('Conversion Range'!$D$2:$D$35,MATCH(V$1,'Conversion Range'!$A$2:$A$35,0))-INDEX('Conversion Range'!$C$2:$C$35,MATCH(V$1,'Conversion Range'!$A$2:$A$35,0))),INDEX('Conversion Range'!$C$2:$C$35,MATCH(V$1,'Conversion Range'!$A$2:$A$35,0))+(('Legend Attributes'!V20-1)/19)*(INDEX('Conversion Range'!$D$2:$D$35,MATCH(V$1,'Conversion Range'!$A$2:$A$35,0))-INDEX('Conversion Range'!$C$2:$C$35,MATCH(V$1,'Conversion Range'!$A$2:$A$35,0)))),3))</f>
        <v>60.789000000000001</v>
      </c>
      <c r="W20" s="15">
        <f>IF('Legend Attributes'!W20=0,0,ROUND(IF(INDEX('Conversion Range'!$E$2:$E$35,MATCH(W$1,'Conversion Range'!$A$2:$A$35,0))=1,INDEX('Conversion Range'!$D$2:$D$35,MATCH(W$1,'Conversion Range'!$A$2:$A$35,0))-(('Legend Attributes'!W20-1)/19)*(INDEX('Conversion Range'!$D$2:$D$35,MATCH(W$1,'Conversion Range'!$A$2:$A$35,0))-INDEX('Conversion Range'!$C$2:$C$35,MATCH(W$1,'Conversion Range'!$A$2:$A$35,0))),INDEX('Conversion Range'!$C$2:$C$35,MATCH(W$1,'Conversion Range'!$A$2:$A$35,0))+(('Legend Attributes'!W20-1)/19)*(INDEX('Conversion Range'!$D$2:$D$35,MATCH(W$1,'Conversion Range'!$A$2:$A$35,0))-INDEX('Conversion Range'!$C$2:$C$35,MATCH(W$1,'Conversion Range'!$A$2:$A$35,0)))),3))</f>
        <v>2.5999999999999999E-2</v>
      </c>
      <c r="X20" s="15">
        <f>IF('Legend Attributes'!X20=0,0,ROUND(IF(INDEX('Conversion Range'!$E$2:$E$35,MATCH(X$1,'Conversion Range'!$A$2:$A$35,0))=1,INDEX('Conversion Range'!$D$2:$D$35,MATCH(X$1,'Conversion Range'!$A$2:$A$35,0))-(('Legend Attributes'!X20-1)/19)*(INDEX('Conversion Range'!$D$2:$D$35,MATCH(X$1,'Conversion Range'!$A$2:$A$35,0))-INDEX('Conversion Range'!$C$2:$C$35,MATCH(X$1,'Conversion Range'!$A$2:$A$35,0))),INDEX('Conversion Range'!$C$2:$C$35,MATCH(X$1,'Conversion Range'!$A$2:$A$35,0))+(('Legend Attributes'!X20-1)/19)*(INDEX('Conversion Range'!$D$2:$D$35,MATCH(X$1,'Conversion Range'!$A$2:$A$35,0))-INDEX('Conversion Range'!$C$2:$C$35,MATCH(X$1,'Conversion Range'!$A$2:$A$35,0)))),3))</f>
        <v>0.11600000000000001</v>
      </c>
      <c r="Y20" s="15">
        <f>IF('Legend Attributes'!Y20=0,0,ROUND(IF(INDEX('Conversion Range'!$E$2:$E$35,MATCH(Y$1,'Conversion Range'!$A$2:$A$35,0))=1,INDEX('Conversion Range'!$D$2:$D$35,MATCH(Y$1,'Conversion Range'!$A$2:$A$35,0))-(('Legend Attributes'!Y20-1)/19)*(INDEX('Conversion Range'!$D$2:$D$35,MATCH(Y$1,'Conversion Range'!$A$2:$A$35,0))-INDEX('Conversion Range'!$C$2:$C$35,MATCH(Y$1,'Conversion Range'!$A$2:$A$35,0))),INDEX('Conversion Range'!$C$2:$C$35,MATCH(Y$1,'Conversion Range'!$A$2:$A$35,0))+(('Legend Attributes'!Y20-1)/19)*(INDEX('Conversion Range'!$D$2:$D$35,MATCH(Y$1,'Conversion Range'!$A$2:$A$35,0))-INDEX('Conversion Range'!$C$2:$C$35,MATCH(Y$1,'Conversion Range'!$A$2:$A$35,0)))),3))</f>
        <v>9.5000000000000001E-2</v>
      </c>
      <c r="Z20" s="15">
        <f>IF('Legend Attributes'!Z20=0,0,ROUND(IF(INDEX('Conversion Range'!$E$2:$E$35,MATCH(Z$1,'Conversion Range'!$A$2:$A$35,0))=1,INDEX('Conversion Range'!$D$2:$D$35,MATCH(Z$1,'Conversion Range'!$A$2:$A$35,0))-(('Legend Attributes'!Z20-1)/19)*(INDEX('Conversion Range'!$D$2:$D$35,MATCH(Z$1,'Conversion Range'!$A$2:$A$35,0))-INDEX('Conversion Range'!$C$2:$C$35,MATCH(Z$1,'Conversion Range'!$A$2:$A$35,0))),INDEX('Conversion Range'!$C$2:$C$35,MATCH(Z$1,'Conversion Range'!$A$2:$A$35,0))+(('Legend Attributes'!Z20-1)/19)*(INDEX('Conversion Range'!$D$2:$D$35,MATCH(Z$1,'Conversion Range'!$A$2:$A$35,0))-INDEX('Conversion Range'!$C$2:$C$35,MATCH(Z$1,'Conversion Range'!$A$2:$A$35,0)))),3))</f>
        <v>5.4740000000000002</v>
      </c>
      <c r="AA20" s="15">
        <f>IF('Legend Attributes'!AA20=0,0,ROUND(IF(INDEX('Conversion Range'!$E$2:$E$35,MATCH(AA$1,'Conversion Range'!$A$2:$A$35,0))=1,INDEX('Conversion Range'!$D$2:$D$35,MATCH(AA$1,'Conversion Range'!$A$2:$A$35,0))-(('Legend Attributes'!AA20-1)/19)*(INDEX('Conversion Range'!$D$2:$D$35,MATCH(AA$1,'Conversion Range'!$A$2:$A$35,0))-INDEX('Conversion Range'!$C$2:$C$35,MATCH(AA$1,'Conversion Range'!$A$2:$A$35,0))),INDEX('Conversion Range'!$C$2:$C$35,MATCH(AA$1,'Conversion Range'!$A$2:$A$35,0))+(('Legend Attributes'!AA20-1)/19)*(INDEX('Conversion Range'!$D$2:$D$35,MATCH(AA$1,'Conversion Range'!$A$2:$A$35,0))-INDEX('Conversion Range'!$C$2:$C$35,MATCH(AA$1,'Conversion Range'!$A$2:$A$35,0)))),3))</f>
        <v>0</v>
      </c>
      <c r="AB20" s="15">
        <f>IF('Legend Attributes'!AB20=0,0,ROUND(IF(INDEX('Conversion Range'!$E$2:$E$35,MATCH(AB$1,'Conversion Range'!$A$2:$A$35,0))=1,INDEX('Conversion Range'!$D$2:$D$35,MATCH(AB$1,'Conversion Range'!$A$2:$A$35,0))-(('Legend Attributes'!AB20-1)/19)*(INDEX('Conversion Range'!$D$2:$D$35,MATCH(AB$1,'Conversion Range'!$A$2:$A$35,0))-INDEX('Conversion Range'!$C$2:$C$35,MATCH(AB$1,'Conversion Range'!$A$2:$A$35,0))),INDEX('Conversion Range'!$C$2:$C$35,MATCH(AB$1,'Conversion Range'!$A$2:$A$35,0))+(('Legend Attributes'!AB20-1)/19)*(INDEX('Conversion Range'!$D$2:$D$35,MATCH(AB$1,'Conversion Range'!$A$2:$A$35,0))-INDEX('Conversion Range'!$C$2:$C$35,MATCH(AB$1,'Conversion Range'!$A$2:$A$35,0)))),3))</f>
        <v>0.33400000000000002</v>
      </c>
      <c r="AC20" s="15">
        <f>IF('Legend Attributes'!AC20=0,0,ROUND(IF(INDEX('Conversion Range'!$E$2:$E$35,MATCH(AC$1,'Conversion Range'!$A$2:$A$35,0))=1,INDEX('Conversion Range'!$D$2:$D$35,MATCH(AC$1,'Conversion Range'!$A$2:$A$35,0))-(('Legend Attributes'!AC20-1)/19)*(INDEX('Conversion Range'!$D$2:$D$35,MATCH(AC$1,'Conversion Range'!$A$2:$A$35,0))-INDEX('Conversion Range'!$C$2:$C$35,MATCH(AC$1,'Conversion Range'!$A$2:$A$35,0))),INDEX('Conversion Range'!$C$2:$C$35,MATCH(AC$1,'Conversion Range'!$A$2:$A$35,0))+(('Legend Attributes'!AC20-1)/19)*(INDEX('Conversion Range'!$D$2:$D$35,MATCH(AC$1,'Conversion Range'!$A$2:$A$35,0))-INDEX('Conversion Range'!$C$2:$C$35,MATCH(AC$1,'Conversion Range'!$A$2:$A$35,0)))),3))</f>
        <v>0.30399999999999999</v>
      </c>
      <c r="AD20" s="15">
        <f>IF('Legend Attributes'!AD20=0,0,ROUND(IF(INDEX('Conversion Range'!$E$2:$E$35,MATCH(AD$1,'Conversion Range'!$A$2:$A$35,0))=1,INDEX('Conversion Range'!$D$2:$D$35,MATCH(AD$1,'Conversion Range'!$A$2:$A$35,0))-(('Legend Attributes'!AD20-1)/19)*(INDEX('Conversion Range'!$D$2:$D$35,MATCH(AD$1,'Conversion Range'!$A$2:$A$35,0))-INDEX('Conversion Range'!$C$2:$C$35,MATCH(AD$1,'Conversion Range'!$A$2:$A$35,0))),INDEX('Conversion Range'!$C$2:$C$35,MATCH(AD$1,'Conversion Range'!$A$2:$A$35,0))+(('Legend Attributes'!AD20-1)/19)*(INDEX('Conversion Range'!$D$2:$D$35,MATCH(AD$1,'Conversion Range'!$A$2:$A$35,0))-INDEX('Conversion Range'!$C$2:$C$35,MATCH(AD$1,'Conversion Range'!$A$2:$A$35,0)))),3))</f>
        <v>0</v>
      </c>
      <c r="AE20" s="15">
        <f>IF('Legend Attributes'!AE20=0,0,ROUND(IF(INDEX('Conversion Range'!$E$2:$E$35,MATCH(AE$1,'Conversion Range'!$A$2:$A$35,0))=1,INDEX('Conversion Range'!$D$2:$D$35,MATCH(AE$1,'Conversion Range'!$A$2:$A$35,0))-(('Legend Attributes'!AE20-1)/19)*(INDEX('Conversion Range'!$D$2:$D$35,MATCH(AE$1,'Conversion Range'!$A$2:$A$35,0))-INDEX('Conversion Range'!$C$2:$C$35,MATCH(AE$1,'Conversion Range'!$A$2:$A$35,0))),INDEX('Conversion Range'!$C$2:$C$35,MATCH(AE$1,'Conversion Range'!$A$2:$A$35,0))+(('Legend Attributes'!AE20-1)/19)*(INDEX('Conversion Range'!$D$2:$D$35,MATCH(AE$1,'Conversion Range'!$A$2:$A$35,0))-INDEX('Conversion Range'!$C$2:$C$35,MATCH(AE$1,'Conversion Range'!$A$2:$A$35,0)))),3))</f>
        <v>0</v>
      </c>
      <c r="AF20" s="15">
        <f>IF('Legend Attributes'!AF20=0,0,ROUND(IF(INDEX('Conversion Range'!$E$2:$E$35,MATCH(AF$1,'Conversion Range'!$A$2:$A$35,0))=1,INDEX('Conversion Range'!$D$2:$D$35,MATCH(AF$1,'Conversion Range'!$A$2:$A$35,0))-(('Legend Attributes'!AF20-1)/19)*(INDEX('Conversion Range'!$D$2:$D$35,MATCH(AF$1,'Conversion Range'!$A$2:$A$35,0))-INDEX('Conversion Range'!$C$2:$C$35,MATCH(AF$1,'Conversion Range'!$A$2:$A$35,0))),INDEX('Conversion Range'!$C$2:$C$35,MATCH(AF$1,'Conversion Range'!$A$2:$A$35,0))+(('Legend Attributes'!AF20-1)/19)*(INDEX('Conversion Range'!$D$2:$D$35,MATCH(AF$1,'Conversion Range'!$A$2:$A$35,0))-INDEX('Conversion Range'!$C$2:$C$35,MATCH(AF$1,'Conversion Range'!$A$2:$A$35,0)))),3))</f>
        <v>0</v>
      </c>
      <c r="AG20" s="15">
        <f>IF('Legend Attributes'!AG20=0,0,ROUND(IF(INDEX('Conversion Range'!$E$2:$E$35,MATCH(AG$1,'Conversion Range'!$A$2:$A$35,0))=1,INDEX('Conversion Range'!$D$2:$D$35,MATCH(AG$1,'Conversion Range'!$A$2:$A$35,0))-(('Legend Attributes'!AG20-1)/19)*(INDEX('Conversion Range'!$D$2:$D$35,MATCH(AG$1,'Conversion Range'!$A$2:$A$35,0))-INDEX('Conversion Range'!$C$2:$C$35,MATCH(AG$1,'Conversion Range'!$A$2:$A$35,0))),INDEX('Conversion Range'!$C$2:$C$35,MATCH(AG$1,'Conversion Range'!$A$2:$A$35,0))+(('Legend Attributes'!AG20-1)/19)*(INDEX('Conversion Range'!$D$2:$D$35,MATCH(AG$1,'Conversion Range'!$A$2:$A$35,0))-INDEX('Conversion Range'!$C$2:$C$35,MATCH(AG$1,'Conversion Range'!$A$2:$A$35,0)))),3))</f>
        <v>0.81599999999999995</v>
      </c>
      <c r="AH20" s="15">
        <f>IF('Legend Attributes'!AH20=0,0,ROUND(IF(INDEX('Conversion Range'!$E$2:$E$35,MATCH(AH$1,'Conversion Range'!$A$2:$A$35,0))=1,INDEX('Conversion Range'!$D$2:$D$35,MATCH(AH$1,'Conversion Range'!$A$2:$A$35,0))-(('Legend Attributes'!AH20-1)/19)*(INDEX('Conversion Range'!$D$2:$D$35,MATCH(AH$1,'Conversion Range'!$A$2:$A$35,0))-INDEX('Conversion Range'!$C$2:$C$35,MATCH(AH$1,'Conversion Range'!$A$2:$A$35,0))),INDEX('Conversion Range'!$C$2:$C$35,MATCH(AH$1,'Conversion Range'!$A$2:$A$35,0))+(('Legend Attributes'!AH20-1)/19)*(INDEX('Conversion Range'!$D$2:$D$35,MATCH(AH$1,'Conversion Range'!$A$2:$A$35,0))-INDEX('Conversion Range'!$C$2:$C$35,MATCH(AH$1,'Conversion Range'!$A$2:$A$35,0)))),3))</f>
        <v>8.7999999999999995E-2</v>
      </c>
      <c r="AI20" s="15">
        <f>IF('Legend Attributes'!AI20=0,0,ROUND(IF(INDEX('Conversion Range'!$E$2:$E$35,MATCH(AI$1,'Conversion Range'!$A$2:$A$35,0))=1,INDEX('Conversion Range'!$D$2:$D$35,MATCH(AI$1,'Conversion Range'!$A$2:$A$35,0))-(('Legend Attributes'!AI20-1)/19)*(INDEX('Conversion Range'!$D$2:$D$35,MATCH(AI$1,'Conversion Range'!$A$2:$A$35,0))-INDEX('Conversion Range'!$C$2:$C$35,MATCH(AI$1,'Conversion Range'!$A$2:$A$35,0))),INDEX('Conversion Range'!$C$2:$C$35,MATCH(AI$1,'Conversion Range'!$A$2:$A$35,0))+(('Legend Attributes'!AI20-1)/19)*(INDEX('Conversion Range'!$D$2:$D$35,MATCH(AI$1,'Conversion Range'!$A$2:$A$35,0))-INDEX('Conversion Range'!$C$2:$C$35,MATCH(AI$1,'Conversion Range'!$A$2:$A$35,0)))),3))</f>
        <v>1.9E-2</v>
      </c>
      <c r="AJ20" s="15">
        <f>IF('Legend Attributes'!AJ20=0,0,ROUND(IF(INDEX('Conversion Range'!$E$2:$E$35,MATCH(AJ$1,'Conversion Range'!$A$2:$A$35,0))=1,INDEX('Conversion Range'!$D$2:$D$35,MATCH(AJ$1,'Conversion Range'!$A$2:$A$35,0))-(('Legend Attributes'!AJ20-1)/19)*(INDEX('Conversion Range'!$D$2:$D$35,MATCH(AJ$1,'Conversion Range'!$A$2:$A$35,0))-INDEX('Conversion Range'!$C$2:$C$35,MATCH(AJ$1,'Conversion Range'!$A$2:$A$35,0))),INDEX('Conversion Range'!$C$2:$C$35,MATCH(AJ$1,'Conversion Range'!$A$2:$A$35,0))+(('Legend Attributes'!AJ20-1)/19)*(INDEX('Conversion Range'!$D$2:$D$35,MATCH(AJ$1,'Conversion Range'!$A$2:$A$35,0))-INDEX('Conversion Range'!$C$2:$C$35,MATCH(AJ$1,'Conversion Range'!$A$2:$A$35,0)))),3))</f>
        <v>8.0109999999999992</v>
      </c>
    </row>
    <row r="21" spans="1:36" x14ac:dyDescent="0.35">
      <c r="A21" s="14" t="str">
        <f>'Legend Attributes'!A21</f>
        <v>Gianluigi Buffon</v>
      </c>
      <c r="B21" s="15" t="str">
        <f>'Legend Attributes'!B21</f>
        <v>GK</v>
      </c>
      <c r="C21" s="15">
        <f>IF('Legend Attributes'!C21=0,0,ROUND(IF(INDEX('Conversion Range'!$E$2:$E$35,MATCH(C$1,'Conversion Range'!$A$2:$A$35,0))=1,INDEX('Conversion Range'!$D$2:$D$35,MATCH(C$1,'Conversion Range'!$A$2:$A$35,0))-(('Legend Attributes'!C21-1)/19)*(INDEX('Conversion Range'!$D$2:$D$35,MATCH(C$1,'Conversion Range'!$A$2:$A$35,0))-INDEX('Conversion Range'!$C$2:$C$35,MATCH(C$1,'Conversion Range'!$A$2:$A$35,0))),INDEX('Conversion Range'!$C$2:$C$35,MATCH(C$1,'Conversion Range'!$A$2:$A$35,0))+(('Legend Attributes'!C21-1)/19)*(INDEX('Conversion Range'!$D$2:$D$35,MATCH(C$1,'Conversion Range'!$A$2:$A$35,0))-INDEX('Conversion Range'!$C$2:$C$35,MATCH(C$1,'Conversion Range'!$A$2:$A$35,0)))),3))</f>
        <v>0</v>
      </c>
      <c r="D21" s="15">
        <f>IF('Legend Attributes'!D21=0,0,ROUND(IF(INDEX('Conversion Range'!$E$2:$E$35,MATCH(D$1,'Conversion Range'!$A$2:$A$35,0))=1,INDEX('Conversion Range'!$D$2:$D$35,MATCH(D$1,'Conversion Range'!$A$2:$A$35,0))-(('Legend Attributes'!D21-1)/19)*(INDEX('Conversion Range'!$D$2:$D$35,MATCH(D$1,'Conversion Range'!$A$2:$A$35,0))-INDEX('Conversion Range'!$C$2:$C$35,MATCH(D$1,'Conversion Range'!$A$2:$A$35,0))),INDEX('Conversion Range'!$C$2:$C$35,MATCH(D$1,'Conversion Range'!$A$2:$A$35,0))+(('Legend Attributes'!D21-1)/19)*(INDEX('Conversion Range'!$D$2:$D$35,MATCH(D$1,'Conversion Range'!$A$2:$A$35,0))-INDEX('Conversion Range'!$C$2:$C$35,MATCH(D$1,'Conversion Range'!$A$2:$A$35,0)))),3))</f>
        <v>0</v>
      </c>
      <c r="E21" s="15">
        <f>IF('Legend Attributes'!E21=0,0,ROUND(IF(INDEX('Conversion Range'!$E$2:$E$35,MATCH(E$1,'Conversion Range'!$A$2:$A$35,0))=1,INDEX('Conversion Range'!$D$2:$D$35,MATCH(E$1,'Conversion Range'!$A$2:$A$35,0))-(('Legend Attributes'!E21-1)/19)*(INDEX('Conversion Range'!$D$2:$D$35,MATCH(E$1,'Conversion Range'!$A$2:$A$35,0))-INDEX('Conversion Range'!$C$2:$C$35,MATCH(E$1,'Conversion Range'!$A$2:$A$35,0))),INDEX('Conversion Range'!$C$2:$C$35,MATCH(E$1,'Conversion Range'!$A$2:$A$35,0))+(('Legend Attributes'!E21-1)/19)*(INDEX('Conversion Range'!$D$2:$D$35,MATCH(E$1,'Conversion Range'!$A$2:$A$35,0))-INDEX('Conversion Range'!$C$2:$C$35,MATCH(E$1,'Conversion Range'!$A$2:$A$35,0)))),3))</f>
        <v>0.01</v>
      </c>
      <c r="F21" s="15">
        <f>IF('Legend Attributes'!F21=0,0,ROUND(IF(INDEX('Conversion Range'!$E$2:$E$35,MATCH(F$1,'Conversion Range'!$A$2:$A$35,0))=1,INDEX('Conversion Range'!$D$2:$D$35,MATCH(F$1,'Conversion Range'!$A$2:$A$35,0))-(('Legend Attributes'!F21-1)/19)*(INDEX('Conversion Range'!$D$2:$D$35,MATCH(F$1,'Conversion Range'!$A$2:$A$35,0))-INDEX('Conversion Range'!$C$2:$C$35,MATCH(F$1,'Conversion Range'!$A$2:$A$35,0))),INDEX('Conversion Range'!$C$2:$C$35,MATCH(F$1,'Conversion Range'!$A$2:$A$35,0))+(('Legend Attributes'!F21-1)/19)*(INDEX('Conversion Range'!$D$2:$D$35,MATCH(F$1,'Conversion Range'!$A$2:$A$35,0))-INDEX('Conversion Range'!$C$2:$C$35,MATCH(F$1,'Conversion Range'!$A$2:$A$35,0)))),3))</f>
        <v>0</v>
      </c>
      <c r="G21" s="15">
        <f>IF('Legend Attributes'!G21=0,0,ROUND(IF(INDEX('Conversion Range'!$E$2:$E$35,MATCH(G$1,'Conversion Range'!$A$2:$A$35,0))=1,INDEX('Conversion Range'!$D$2:$D$35,MATCH(G$1,'Conversion Range'!$A$2:$A$35,0))-(('Legend Attributes'!G21-1)/19)*(INDEX('Conversion Range'!$D$2:$D$35,MATCH(G$1,'Conversion Range'!$A$2:$A$35,0))-INDEX('Conversion Range'!$C$2:$C$35,MATCH(G$1,'Conversion Range'!$A$2:$A$35,0))),INDEX('Conversion Range'!$C$2:$C$35,MATCH(G$1,'Conversion Range'!$A$2:$A$35,0))+(('Legend Attributes'!G21-1)/19)*(INDEX('Conversion Range'!$D$2:$D$35,MATCH(G$1,'Conversion Range'!$A$2:$A$35,0))-INDEX('Conversion Range'!$C$2:$C$35,MATCH(G$1,'Conversion Range'!$A$2:$A$35,0)))),3))</f>
        <v>0</v>
      </c>
      <c r="H21" s="15">
        <f>IF('Legend Attributes'!H21=0,0,ROUND(IF(INDEX('Conversion Range'!$E$2:$E$35,MATCH(H$1,'Conversion Range'!$A$2:$A$35,0))=1,INDEX('Conversion Range'!$D$2:$D$35,MATCH(H$1,'Conversion Range'!$A$2:$A$35,0))-(('Legend Attributes'!H21-1)/19)*(INDEX('Conversion Range'!$D$2:$D$35,MATCH(H$1,'Conversion Range'!$A$2:$A$35,0))-INDEX('Conversion Range'!$C$2:$C$35,MATCH(H$1,'Conversion Range'!$A$2:$A$35,0))),INDEX('Conversion Range'!$C$2:$C$35,MATCH(H$1,'Conversion Range'!$A$2:$A$35,0))+(('Legend Attributes'!H21-1)/19)*(INDEX('Conversion Range'!$D$2:$D$35,MATCH(H$1,'Conversion Range'!$A$2:$A$35,0))-INDEX('Conversion Range'!$C$2:$C$35,MATCH(H$1,'Conversion Range'!$A$2:$A$35,0)))),3))</f>
        <v>0</v>
      </c>
      <c r="I21" s="15">
        <f>IF('Legend Attributes'!I21=0,0,ROUND(IF(INDEX('Conversion Range'!$E$2:$E$35,MATCH(I$1,'Conversion Range'!$A$2:$A$35,0))=1,INDEX('Conversion Range'!$D$2:$D$35,MATCH(I$1,'Conversion Range'!$A$2:$A$35,0))-(('Legend Attributes'!I21-1)/19)*(INDEX('Conversion Range'!$D$2:$D$35,MATCH(I$1,'Conversion Range'!$A$2:$A$35,0))-INDEX('Conversion Range'!$C$2:$C$35,MATCH(I$1,'Conversion Range'!$A$2:$A$35,0))),INDEX('Conversion Range'!$C$2:$C$35,MATCH(I$1,'Conversion Range'!$A$2:$A$35,0))+(('Legend Attributes'!I21-1)/19)*(INDEX('Conversion Range'!$D$2:$D$35,MATCH(I$1,'Conversion Range'!$A$2:$A$35,0))-INDEX('Conversion Range'!$C$2:$C$35,MATCH(I$1,'Conversion Range'!$A$2:$A$35,0)))),3))</f>
        <v>0.1</v>
      </c>
      <c r="J21" s="15">
        <f>IF('Legend Attributes'!J21=0,0,ROUND(IF(INDEX('Conversion Range'!$E$2:$E$35,MATCH(J$1,'Conversion Range'!$A$2:$A$35,0))=1,INDEX('Conversion Range'!$D$2:$D$35,MATCH(J$1,'Conversion Range'!$A$2:$A$35,0))-(('Legend Attributes'!J21-1)/19)*(INDEX('Conversion Range'!$D$2:$D$35,MATCH(J$1,'Conversion Range'!$A$2:$A$35,0))-INDEX('Conversion Range'!$C$2:$C$35,MATCH(J$1,'Conversion Range'!$A$2:$A$35,0))),INDEX('Conversion Range'!$C$2:$C$35,MATCH(J$1,'Conversion Range'!$A$2:$A$35,0))+(('Legend Attributes'!J21-1)/19)*(INDEX('Conversion Range'!$D$2:$D$35,MATCH(J$1,'Conversion Range'!$A$2:$A$35,0))-INDEX('Conversion Range'!$C$2:$C$35,MATCH(J$1,'Conversion Range'!$A$2:$A$35,0)))),3))</f>
        <v>0.36299999999999999</v>
      </c>
      <c r="K21" s="15">
        <f>IF('Legend Attributes'!K21=0,0,ROUND(IF(INDEX('Conversion Range'!$E$2:$E$35,MATCH(K$1,'Conversion Range'!$A$2:$A$35,0))=1,INDEX('Conversion Range'!$D$2:$D$35,MATCH(K$1,'Conversion Range'!$A$2:$A$35,0))-(('Legend Attributes'!K21-1)/19)*(INDEX('Conversion Range'!$D$2:$D$35,MATCH(K$1,'Conversion Range'!$A$2:$A$35,0))-INDEX('Conversion Range'!$C$2:$C$35,MATCH(K$1,'Conversion Range'!$A$2:$A$35,0))),INDEX('Conversion Range'!$C$2:$C$35,MATCH(K$1,'Conversion Range'!$A$2:$A$35,0))+(('Legend Attributes'!K21-1)/19)*(INDEX('Conversion Range'!$D$2:$D$35,MATCH(K$1,'Conversion Range'!$A$2:$A$35,0))-INDEX('Conversion Range'!$C$2:$C$35,MATCH(K$1,'Conversion Range'!$A$2:$A$35,0)))),3))</f>
        <v>0.33200000000000002</v>
      </c>
      <c r="L21" s="15">
        <f>IF('Legend Attributes'!L21=0,0,ROUND(IF(INDEX('Conversion Range'!$E$2:$E$35,MATCH(L$1,'Conversion Range'!$A$2:$A$35,0))=1,INDEX('Conversion Range'!$D$2:$D$35,MATCH(L$1,'Conversion Range'!$A$2:$A$35,0))-(('Legend Attributes'!L21-1)/19)*(INDEX('Conversion Range'!$D$2:$D$35,MATCH(L$1,'Conversion Range'!$A$2:$A$35,0))-INDEX('Conversion Range'!$C$2:$C$35,MATCH(L$1,'Conversion Range'!$A$2:$A$35,0))),INDEX('Conversion Range'!$C$2:$C$35,MATCH(L$1,'Conversion Range'!$A$2:$A$35,0))+(('Legend Attributes'!L21-1)/19)*(INDEX('Conversion Range'!$D$2:$D$35,MATCH(L$1,'Conversion Range'!$A$2:$A$35,0))-INDEX('Conversion Range'!$C$2:$C$35,MATCH(L$1,'Conversion Range'!$A$2:$A$35,0)))),3))</f>
        <v>0</v>
      </c>
      <c r="M21" s="15">
        <f>IF('Legend Attributes'!M21=0,0,ROUND(IF(INDEX('Conversion Range'!$E$2:$E$35,MATCH(M$1,'Conversion Range'!$A$2:$A$35,0))=1,INDEX('Conversion Range'!$D$2:$D$35,MATCH(M$1,'Conversion Range'!$A$2:$A$35,0))-(('Legend Attributes'!M21-1)/19)*(INDEX('Conversion Range'!$D$2:$D$35,MATCH(M$1,'Conversion Range'!$A$2:$A$35,0))-INDEX('Conversion Range'!$C$2:$C$35,MATCH(M$1,'Conversion Range'!$A$2:$A$35,0))),INDEX('Conversion Range'!$C$2:$C$35,MATCH(M$1,'Conversion Range'!$A$2:$A$35,0))+(('Legend Attributes'!M21-1)/19)*(INDEX('Conversion Range'!$D$2:$D$35,MATCH(M$1,'Conversion Range'!$A$2:$A$35,0))-INDEX('Conversion Range'!$C$2:$C$35,MATCH(M$1,'Conversion Range'!$A$2:$A$35,0)))),3))</f>
        <v>0</v>
      </c>
      <c r="N21" s="15">
        <f>IF('Legend Attributes'!N21=0,0,ROUND(IF(INDEX('Conversion Range'!$E$2:$E$35,MATCH(N$1,'Conversion Range'!$A$2:$A$35,0))=1,INDEX('Conversion Range'!$D$2:$D$35,MATCH(N$1,'Conversion Range'!$A$2:$A$35,0))-(('Legend Attributes'!N21-1)/19)*(INDEX('Conversion Range'!$D$2:$D$35,MATCH(N$1,'Conversion Range'!$A$2:$A$35,0))-INDEX('Conversion Range'!$C$2:$C$35,MATCH(N$1,'Conversion Range'!$A$2:$A$35,0))),INDEX('Conversion Range'!$C$2:$C$35,MATCH(N$1,'Conversion Range'!$A$2:$A$35,0))+(('Legend Attributes'!N21-1)/19)*(INDEX('Conversion Range'!$D$2:$D$35,MATCH(N$1,'Conversion Range'!$A$2:$A$35,0))-INDEX('Conversion Range'!$C$2:$C$35,MATCH(N$1,'Conversion Range'!$A$2:$A$35,0)))),3))</f>
        <v>2.7890000000000001</v>
      </c>
      <c r="O21" s="15">
        <f>IF('Legend Attributes'!O21=0,0,ROUND(IF(INDEX('Conversion Range'!$E$2:$E$35,MATCH(O$1,'Conversion Range'!$A$2:$A$35,0))=1,INDEX('Conversion Range'!$D$2:$D$35,MATCH(O$1,'Conversion Range'!$A$2:$A$35,0))-(('Legend Attributes'!O21-1)/19)*(INDEX('Conversion Range'!$D$2:$D$35,MATCH(O$1,'Conversion Range'!$A$2:$A$35,0))-INDEX('Conversion Range'!$C$2:$C$35,MATCH(O$1,'Conversion Range'!$A$2:$A$35,0))),INDEX('Conversion Range'!$C$2:$C$35,MATCH(O$1,'Conversion Range'!$A$2:$A$35,0))+(('Legend Attributes'!O21-1)/19)*(INDEX('Conversion Range'!$D$2:$D$35,MATCH(O$1,'Conversion Range'!$A$2:$A$35,0))-INDEX('Conversion Range'!$C$2:$C$35,MATCH(O$1,'Conversion Range'!$A$2:$A$35,0)))),3))</f>
        <v>0.1</v>
      </c>
      <c r="P21" s="15">
        <f>IF('Legend Attributes'!P21=0,0,ROUND(IF(INDEX('Conversion Range'!$E$2:$E$35,MATCH(P$1,'Conversion Range'!$A$2:$A$35,0))=1,INDEX('Conversion Range'!$D$2:$D$35,MATCH(P$1,'Conversion Range'!$A$2:$A$35,0))-(('Legend Attributes'!P21-1)/19)*(INDEX('Conversion Range'!$D$2:$D$35,MATCH(P$1,'Conversion Range'!$A$2:$A$35,0))-INDEX('Conversion Range'!$C$2:$C$35,MATCH(P$1,'Conversion Range'!$A$2:$A$35,0))),INDEX('Conversion Range'!$C$2:$C$35,MATCH(P$1,'Conversion Range'!$A$2:$A$35,0))+(('Legend Attributes'!P21-1)/19)*(INDEX('Conversion Range'!$D$2:$D$35,MATCH(P$1,'Conversion Range'!$A$2:$A$35,0))-INDEX('Conversion Range'!$C$2:$C$35,MATCH(P$1,'Conversion Range'!$A$2:$A$35,0)))),3))</f>
        <v>50.262999999999998</v>
      </c>
      <c r="Q21" s="15">
        <f>IF('Legend Attributes'!Q21=0,0,ROUND(IF(INDEX('Conversion Range'!$E$2:$E$35,MATCH(Q$1,'Conversion Range'!$A$2:$A$35,0))=1,INDEX('Conversion Range'!$D$2:$D$35,MATCH(Q$1,'Conversion Range'!$A$2:$A$35,0))-(('Legend Attributes'!Q21-1)/19)*(INDEX('Conversion Range'!$D$2:$D$35,MATCH(Q$1,'Conversion Range'!$A$2:$A$35,0))-INDEX('Conversion Range'!$C$2:$C$35,MATCH(Q$1,'Conversion Range'!$A$2:$A$35,0))),INDEX('Conversion Range'!$C$2:$C$35,MATCH(Q$1,'Conversion Range'!$A$2:$A$35,0))+(('Legend Attributes'!Q21-1)/19)*(INDEX('Conversion Range'!$D$2:$D$35,MATCH(Q$1,'Conversion Range'!$A$2:$A$35,0))-INDEX('Conversion Range'!$C$2:$C$35,MATCH(Q$1,'Conversion Range'!$A$2:$A$35,0)))),3))</f>
        <v>43.683999999999997</v>
      </c>
      <c r="R21" s="15">
        <f>IF('Legend Attributes'!R21=0,0,ROUND(IF(INDEX('Conversion Range'!$E$2:$E$35,MATCH(R$1,'Conversion Range'!$A$2:$A$35,0))=1,INDEX('Conversion Range'!$D$2:$D$35,MATCH(R$1,'Conversion Range'!$A$2:$A$35,0))-(('Legend Attributes'!R21-1)/19)*(INDEX('Conversion Range'!$D$2:$D$35,MATCH(R$1,'Conversion Range'!$A$2:$A$35,0))-INDEX('Conversion Range'!$C$2:$C$35,MATCH(R$1,'Conversion Range'!$A$2:$A$35,0))),INDEX('Conversion Range'!$C$2:$C$35,MATCH(R$1,'Conversion Range'!$A$2:$A$35,0))+(('Legend Attributes'!R21-1)/19)*(INDEX('Conversion Range'!$D$2:$D$35,MATCH(R$1,'Conversion Range'!$A$2:$A$35,0))-INDEX('Conversion Range'!$C$2:$C$35,MATCH(R$1,'Conversion Range'!$A$2:$A$35,0)))),3))</f>
        <v>78.158000000000001</v>
      </c>
      <c r="S21" s="15">
        <f>IF('Legend Attributes'!S21=0,0,ROUND(IF(INDEX('Conversion Range'!$E$2:$E$35,MATCH(S$1,'Conversion Range'!$A$2:$A$35,0))=1,INDEX('Conversion Range'!$D$2:$D$35,MATCH(S$1,'Conversion Range'!$A$2:$A$35,0))-(('Legend Attributes'!S21-1)/19)*(INDEX('Conversion Range'!$D$2:$D$35,MATCH(S$1,'Conversion Range'!$A$2:$A$35,0))-INDEX('Conversion Range'!$C$2:$C$35,MATCH(S$1,'Conversion Range'!$A$2:$A$35,0))),INDEX('Conversion Range'!$C$2:$C$35,MATCH(S$1,'Conversion Range'!$A$2:$A$35,0))+(('Legend Attributes'!S21-1)/19)*(INDEX('Conversion Range'!$D$2:$D$35,MATCH(S$1,'Conversion Range'!$A$2:$A$35,0))-INDEX('Conversion Range'!$C$2:$C$35,MATCH(S$1,'Conversion Range'!$A$2:$A$35,0)))),3))</f>
        <v>1.163</v>
      </c>
      <c r="T21" s="15">
        <f>IF('Legend Attributes'!T21=0,0,ROUND(IF(INDEX('Conversion Range'!$E$2:$E$35,MATCH(T$1,'Conversion Range'!$A$2:$A$35,0))=1,INDEX('Conversion Range'!$D$2:$D$35,MATCH(T$1,'Conversion Range'!$A$2:$A$35,0))-(('Legend Attributes'!T21-1)/19)*(INDEX('Conversion Range'!$D$2:$D$35,MATCH(T$1,'Conversion Range'!$A$2:$A$35,0))-INDEX('Conversion Range'!$C$2:$C$35,MATCH(T$1,'Conversion Range'!$A$2:$A$35,0))),INDEX('Conversion Range'!$C$2:$C$35,MATCH(T$1,'Conversion Range'!$A$2:$A$35,0))+(('Legend Attributes'!T21-1)/19)*(INDEX('Conversion Range'!$D$2:$D$35,MATCH(T$1,'Conversion Range'!$A$2:$A$35,0))-INDEX('Conversion Range'!$C$2:$C$35,MATCH(T$1,'Conversion Range'!$A$2:$A$35,0)))),3))</f>
        <v>43.104999999999997</v>
      </c>
      <c r="U21" s="15">
        <f>IF('Legend Attributes'!U21=0,0,ROUND(IF(INDEX('Conversion Range'!$E$2:$E$35,MATCH(U$1,'Conversion Range'!$A$2:$A$35,0))=1,INDEX('Conversion Range'!$D$2:$D$35,MATCH(U$1,'Conversion Range'!$A$2:$A$35,0))-(('Legend Attributes'!U21-1)/19)*(INDEX('Conversion Range'!$D$2:$D$35,MATCH(U$1,'Conversion Range'!$A$2:$A$35,0))-INDEX('Conversion Range'!$C$2:$C$35,MATCH(U$1,'Conversion Range'!$A$2:$A$35,0))),INDEX('Conversion Range'!$C$2:$C$35,MATCH(U$1,'Conversion Range'!$A$2:$A$35,0))+(('Legend Attributes'!U21-1)/19)*(INDEX('Conversion Range'!$D$2:$D$35,MATCH(U$1,'Conversion Range'!$A$2:$A$35,0))-INDEX('Conversion Range'!$C$2:$C$35,MATCH(U$1,'Conversion Range'!$A$2:$A$35,0)))),3))</f>
        <v>1.9419999999999999</v>
      </c>
      <c r="V21" s="15">
        <f>IF('Legend Attributes'!V21=0,0,ROUND(IF(INDEX('Conversion Range'!$E$2:$E$35,MATCH(V$1,'Conversion Range'!$A$2:$A$35,0))=1,INDEX('Conversion Range'!$D$2:$D$35,MATCH(V$1,'Conversion Range'!$A$2:$A$35,0))-(('Legend Attributes'!V21-1)/19)*(INDEX('Conversion Range'!$D$2:$D$35,MATCH(V$1,'Conversion Range'!$A$2:$A$35,0))-INDEX('Conversion Range'!$C$2:$C$35,MATCH(V$1,'Conversion Range'!$A$2:$A$35,0))),INDEX('Conversion Range'!$C$2:$C$35,MATCH(V$1,'Conversion Range'!$A$2:$A$35,0))+(('Legend Attributes'!V21-1)/19)*(INDEX('Conversion Range'!$D$2:$D$35,MATCH(V$1,'Conversion Range'!$A$2:$A$35,0))-INDEX('Conversion Range'!$C$2:$C$35,MATCH(V$1,'Conversion Range'!$A$2:$A$35,0)))),3))</f>
        <v>53.683999999999997</v>
      </c>
      <c r="W21" s="15">
        <f>IF('Legend Attributes'!W21=0,0,ROUND(IF(INDEX('Conversion Range'!$E$2:$E$35,MATCH(W$1,'Conversion Range'!$A$2:$A$35,0))=1,INDEX('Conversion Range'!$D$2:$D$35,MATCH(W$1,'Conversion Range'!$A$2:$A$35,0))-(('Legend Attributes'!W21-1)/19)*(INDEX('Conversion Range'!$D$2:$D$35,MATCH(W$1,'Conversion Range'!$A$2:$A$35,0))-INDEX('Conversion Range'!$C$2:$C$35,MATCH(W$1,'Conversion Range'!$A$2:$A$35,0))),INDEX('Conversion Range'!$C$2:$C$35,MATCH(W$1,'Conversion Range'!$A$2:$A$35,0))+(('Legend Attributes'!W21-1)/19)*(INDEX('Conversion Range'!$D$2:$D$35,MATCH(W$1,'Conversion Range'!$A$2:$A$35,0))-INDEX('Conversion Range'!$C$2:$C$35,MATCH(W$1,'Conversion Range'!$A$2:$A$35,0)))),3))</f>
        <v>0</v>
      </c>
      <c r="X21" s="15">
        <f>IF('Legend Attributes'!X21=0,0,ROUND(IF(INDEX('Conversion Range'!$E$2:$E$35,MATCH(X$1,'Conversion Range'!$A$2:$A$35,0))=1,INDEX('Conversion Range'!$D$2:$D$35,MATCH(X$1,'Conversion Range'!$A$2:$A$35,0))-(('Legend Attributes'!X21-1)/19)*(INDEX('Conversion Range'!$D$2:$D$35,MATCH(X$1,'Conversion Range'!$A$2:$A$35,0))-INDEX('Conversion Range'!$C$2:$C$35,MATCH(X$1,'Conversion Range'!$A$2:$A$35,0))),INDEX('Conversion Range'!$C$2:$C$35,MATCH(X$1,'Conversion Range'!$A$2:$A$35,0))+(('Legend Attributes'!X21-1)/19)*(INDEX('Conversion Range'!$D$2:$D$35,MATCH(X$1,'Conversion Range'!$A$2:$A$35,0))-INDEX('Conversion Range'!$C$2:$C$35,MATCH(X$1,'Conversion Range'!$A$2:$A$35,0)))),3))</f>
        <v>0</v>
      </c>
      <c r="Y21" s="15">
        <f>IF('Legend Attributes'!Y21=0,0,ROUND(IF(INDEX('Conversion Range'!$E$2:$E$35,MATCH(Y$1,'Conversion Range'!$A$2:$A$35,0))=1,INDEX('Conversion Range'!$D$2:$D$35,MATCH(Y$1,'Conversion Range'!$A$2:$A$35,0))-(('Legend Attributes'!Y21-1)/19)*(INDEX('Conversion Range'!$D$2:$D$35,MATCH(Y$1,'Conversion Range'!$A$2:$A$35,0))-INDEX('Conversion Range'!$C$2:$C$35,MATCH(Y$1,'Conversion Range'!$A$2:$A$35,0))),INDEX('Conversion Range'!$C$2:$C$35,MATCH(Y$1,'Conversion Range'!$A$2:$A$35,0))+(('Legend Attributes'!Y21-1)/19)*(INDEX('Conversion Range'!$D$2:$D$35,MATCH(Y$1,'Conversion Range'!$A$2:$A$35,0))-INDEX('Conversion Range'!$C$2:$C$35,MATCH(Y$1,'Conversion Range'!$A$2:$A$35,0)))),3))</f>
        <v>0.47399999999999998</v>
      </c>
      <c r="Z21" s="15">
        <f>IF('Legend Attributes'!Z21=0,0,ROUND(IF(INDEX('Conversion Range'!$E$2:$E$35,MATCH(Z$1,'Conversion Range'!$A$2:$A$35,0))=1,INDEX('Conversion Range'!$D$2:$D$35,MATCH(Z$1,'Conversion Range'!$A$2:$A$35,0))-(('Legend Attributes'!Z21-1)/19)*(INDEX('Conversion Range'!$D$2:$D$35,MATCH(Z$1,'Conversion Range'!$A$2:$A$35,0))-INDEX('Conversion Range'!$C$2:$C$35,MATCH(Z$1,'Conversion Range'!$A$2:$A$35,0))),INDEX('Conversion Range'!$C$2:$C$35,MATCH(Z$1,'Conversion Range'!$A$2:$A$35,0))+(('Legend Attributes'!Z21-1)/19)*(INDEX('Conversion Range'!$D$2:$D$35,MATCH(Z$1,'Conversion Range'!$A$2:$A$35,0))-INDEX('Conversion Range'!$C$2:$C$35,MATCH(Z$1,'Conversion Range'!$A$2:$A$35,0)))),3))</f>
        <v>11.395</v>
      </c>
      <c r="AA21" s="15">
        <f>IF('Legend Attributes'!AA21=0,0,ROUND(IF(INDEX('Conversion Range'!$E$2:$E$35,MATCH(AA$1,'Conversion Range'!$A$2:$A$35,0))=1,INDEX('Conversion Range'!$D$2:$D$35,MATCH(AA$1,'Conversion Range'!$A$2:$A$35,0))-(('Legend Attributes'!AA21-1)/19)*(INDEX('Conversion Range'!$D$2:$D$35,MATCH(AA$1,'Conversion Range'!$A$2:$A$35,0))-INDEX('Conversion Range'!$C$2:$C$35,MATCH(AA$1,'Conversion Range'!$A$2:$A$35,0))),INDEX('Conversion Range'!$C$2:$C$35,MATCH(AA$1,'Conversion Range'!$A$2:$A$35,0))+(('Legend Attributes'!AA21-1)/19)*(INDEX('Conversion Range'!$D$2:$D$35,MATCH(AA$1,'Conversion Range'!$A$2:$A$35,0))-INDEX('Conversion Range'!$C$2:$C$35,MATCH(AA$1,'Conversion Range'!$A$2:$A$35,0)))),3))</f>
        <v>0</v>
      </c>
      <c r="AB21" s="15">
        <f>IF('Legend Attributes'!AB21=0,0,ROUND(IF(INDEX('Conversion Range'!$E$2:$E$35,MATCH(AB$1,'Conversion Range'!$A$2:$A$35,0))=1,INDEX('Conversion Range'!$D$2:$D$35,MATCH(AB$1,'Conversion Range'!$A$2:$A$35,0))-(('Legend Attributes'!AB21-1)/19)*(INDEX('Conversion Range'!$D$2:$D$35,MATCH(AB$1,'Conversion Range'!$A$2:$A$35,0))-INDEX('Conversion Range'!$C$2:$C$35,MATCH(AB$1,'Conversion Range'!$A$2:$A$35,0))),INDEX('Conversion Range'!$C$2:$C$35,MATCH(AB$1,'Conversion Range'!$A$2:$A$35,0))+(('Legend Attributes'!AB21-1)/19)*(INDEX('Conversion Range'!$D$2:$D$35,MATCH(AB$1,'Conversion Range'!$A$2:$A$35,0))-INDEX('Conversion Range'!$C$2:$C$35,MATCH(AB$1,'Conversion Range'!$A$2:$A$35,0)))),3))</f>
        <v>0.05</v>
      </c>
      <c r="AC21" s="15">
        <f>IF('Legend Attributes'!AC21=0,0,ROUND(IF(INDEX('Conversion Range'!$E$2:$E$35,MATCH(AC$1,'Conversion Range'!$A$2:$A$35,0))=1,INDEX('Conversion Range'!$D$2:$D$35,MATCH(AC$1,'Conversion Range'!$A$2:$A$35,0))-(('Legend Attributes'!AC21-1)/19)*(INDEX('Conversion Range'!$D$2:$D$35,MATCH(AC$1,'Conversion Range'!$A$2:$A$35,0))-INDEX('Conversion Range'!$C$2:$C$35,MATCH(AC$1,'Conversion Range'!$A$2:$A$35,0))),INDEX('Conversion Range'!$C$2:$C$35,MATCH(AC$1,'Conversion Range'!$A$2:$A$35,0))+(('Legend Attributes'!AC21-1)/19)*(INDEX('Conversion Range'!$D$2:$D$35,MATCH(AC$1,'Conversion Range'!$A$2:$A$35,0))-INDEX('Conversion Range'!$C$2:$C$35,MATCH(AC$1,'Conversion Range'!$A$2:$A$35,0)))),3))</f>
        <v>0.03</v>
      </c>
      <c r="AD21" s="15">
        <f>IF('Legend Attributes'!AD21=0,0,ROUND(IF(INDEX('Conversion Range'!$E$2:$E$35,MATCH(AD$1,'Conversion Range'!$A$2:$A$35,0))=1,INDEX('Conversion Range'!$D$2:$D$35,MATCH(AD$1,'Conversion Range'!$A$2:$A$35,0))-(('Legend Attributes'!AD21-1)/19)*(INDEX('Conversion Range'!$D$2:$D$35,MATCH(AD$1,'Conversion Range'!$A$2:$A$35,0))-INDEX('Conversion Range'!$C$2:$C$35,MATCH(AD$1,'Conversion Range'!$A$2:$A$35,0))),INDEX('Conversion Range'!$C$2:$C$35,MATCH(AD$1,'Conversion Range'!$A$2:$A$35,0))+(('Legend Attributes'!AD21-1)/19)*(INDEX('Conversion Range'!$D$2:$D$35,MATCH(AD$1,'Conversion Range'!$A$2:$A$35,0))-INDEX('Conversion Range'!$C$2:$C$35,MATCH(AD$1,'Conversion Range'!$A$2:$A$35,0)))),3))</f>
        <v>4.1319999999999997</v>
      </c>
      <c r="AE21" s="15">
        <f>IF('Legend Attributes'!AE21=0,0,ROUND(IF(INDEX('Conversion Range'!$E$2:$E$35,MATCH(AE$1,'Conversion Range'!$A$2:$A$35,0))=1,INDEX('Conversion Range'!$D$2:$D$35,MATCH(AE$1,'Conversion Range'!$A$2:$A$35,0))-(('Legend Attributes'!AE21-1)/19)*(INDEX('Conversion Range'!$D$2:$D$35,MATCH(AE$1,'Conversion Range'!$A$2:$A$35,0))-INDEX('Conversion Range'!$C$2:$C$35,MATCH(AE$1,'Conversion Range'!$A$2:$A$35,0))),INDEX('Conversion Range'!$C$2:$C$35,MATCH(AE$1,'Conversion Range'!$A$2:$A$35,0))+(('Legend Attributes'!AE21-1)/19)*(INDEX('Conversion Range'!$D$2:$D$35,MATCH(AE$1,'Conversion Range'!$A$2:$A$35,0))-INDEX('Conversion Range'!$C$2:$C$35,MATCH(AE$1,'Conversion Range'!$A$2:$A$35,0)))),3))</f>
        <v>0.54200000000000004</v>
      </c>
      <c r="AF21" s="15">
        <f>IF('Legend Attributes'!AF21=0,0,ROUND(IF(INDEX('Conversion Range'!$E$2:$E$35,MATCH(AF$1,'Conversion Range'!$A$2:$A$35,0))=1,INDEX('Conversion Range'!$D$2:$D$35,MATCH(AF$1,'Conversion Range'!$A$2:$A$35,0))-(('Legend Attributes'!AF21-1)/19)*(INDEX('Conversion Range'!$D$2:$D$35,MATCH(AF$1,'Conversion Range'!$A$2:$A$35,0))-INDEX('Conversion Range'!$C$2:$C$35,MATCH(AF$1,'Conversion Range'!$A$2:$A$35,0))),INDEX('Conversion Range'!$C$2:$C$35,MATCH(AF$1,'Conversion Range'!$A$2:$A$35,0))+(('Legend Attributes'!AF21-1)/19)*(INDEX('Conversion Range'!$D$2:$D$35,MATCH(AF$1,'Conversion Range'!$A$2:$A$35,0))-INDEX('Conversion Range'!$C$2:$C$35,MATCH(AF$1,'Conversion Range'!$A$2:$A$35,0)))),3))</f>
        <v>47.104999999999997</v>
      </c>
      <c r="AG21" s="15">
        <f>IF('Legend Attributes'!AG21=0,0,ROUND(IF(INDEX('Conversion Range'!$E$2:$E$35,MATCH(AG$1,'Conversion Range'!$A$2:$A$35,0))=1,INDEX('Conversion Range'!$D$2:$D$35,MATCH(AG$1,'Conversion Range'!$A$2:$A$35,0))-(('Legend Attributes'!AG21-1)/19)*(INDEX('Conversion Range'!$D$2:$D$35,MATCH(AG$1,'Conversion Range'!$A$2:$A$35,0))-INDEX('Conversion Range'!$C$2:$C$35,MATCH(AG$1,'Conversion Range'!$A$2:$A$35,0))),INDEX('Conversion Range'!$C$2:$C$35,MATCH(AG$1,'Conversion Range'!$A$2:$A$35,0))+(('Legend Attributes'!AG21-1)/19)*(INDEX('Conversion Range'!$D$2:$D$35,MATCH(AG$1,'Conversion Range'!$A$2:$A$35,0))-INDEX('Conversion Range'!$C$2:$C$35,MATCH(AG$1,'Conversion Range'!$A$2:$A$35,0)))),3))</f>
        <v>0.81599999999999995</v>
      </c>
      <c r="AH21" s="15">
        <f>IF('Legend Attributes'!AH21=0,0,ROUND(IF(INDEX('Conversion Range'!$E$2:$E$35,MATCH(AH$1,'Conversion Range'!$A$2:$A$35,0))=1,INDEX('Conversion Range'!$D$2:$D$35,MATCH(AH$1,'Conversion Range'!$A$2:$A$35,0))-(('Legend Attributes'!AH21-1)/19)*(INDEX('Conversion Range'!$D$2:$D$35,MATCH(AH$1,'Conversion Range'!$A$2:$A$35,0))-INDEX('Conversion Range'!$C$2:$C$35,MATCH(AH$1,'Conversion Range'!$A$2:$A$35,0))),INDEX('Conversion Range'!$C$2:$C$35,MATCH(AH$1,'Conversion Range'!$A$2:$A$35,0))+(('Legend Attributes'!AH21-1)/19)*(INDEX('Conversion Range'!$D$2:$D$35,MATCH(AH$1,'Conversion Range'!$A$2:$A$35,0))-INDEX('Conversion Range'!$C$2:$C$35,MATCH(AH$1,'Conversion Range'!$A$2:$A$35,0)))),3))</f>
        <v>8.7999999999999995E-2</v>
      </c>
      <c r="AI21" s="15">
        <f>IF('Legend Attributes'!AI21=0,0,ROUND(IF(INDEX('Conversion Range'!$E$2:$E$35,MATCH(AI$1,'Conversion Range'!$A$2:$A$35,0))=1,INDEX('Conversion Range'!$D$2:$D$35,MATCH(AI$1,'Conversion Range'!$A$2:$A$35,0))-(('Legend Attributes'!AI21-1)/19)*(INDEX('Conversion Range'!$D$2:$D$35,MATCH(AI$1,'Conversion Range'!$A$2:$A$35,0))-INDEX('Conversion Range'!$C$2:$C$35,MATCH(AI$1,'Conversion Range'!$A$2:$A$35,0))),INDEX('Conversion Range'!$C$2:$C$35,MATCH(AI$1,'Conversion Range'!$A$2:$A$35,0))+(('Legend Attributes'!AI21-1)/19)*(INDEX('Conversion Range'!$D$2:$D$35,MATCH(AI$1,'Conversion Range'!$A$2:$A$35,0))-INDEX('Conversion Range'!$C$2:$C$35,MATCH(AI$1,'Conversion Range'!$A$2:$A$35,0)))),3))</f>
        <v>1.2999999999999999E-2</v>
      </c>
      <c r="AJ21" s="15">
        <f>IF('Legend Attributes'!AJ21=0,0,ROUND(IF(INDEX('Conversion Range'!$E$2:$E$35,MATCH(AJ$1,'Conversion Range'!$A$2:$A$35,0))=1,INDEX('Conversion Range'!$D$2:$D$35,MATCH(AJ$1,'Conversion Range'!$A$2:$A$35,0))-(('Legend Attributes'!AJ21-1)/19)*(INDEX('Conversion Range'!$D$2:$D$35,MATCH(AJ$1,'Conversion Range'!$A$2:$A$35,0))-INDEX('Conversion Range'!$C$2:$C$35,MATCH(AJ$1,'Conversion Range'!$A$2:$A$35,0))),INDEX('Conversion Range'!$C$2:$C$35,MATCH(AJ$1,'Conversion Range'!$A$2:$A$35,0))+(('Legend Attributes'!AJ21-1)/19)*(INDEX('Conversion Range'!$D$2:$D$35,MATCH(AJ$1,'Conversion Range'!$A$2:$A$35,0))-INDEX('Conversion Range'!$C$2:$C$35,MATCH(AJ$1,'Conversion Range'!$A$2:$A$35,0)))),3))</f>
        <v>8.0109999999999992</v>
      </c>
    </row>
    <row r="22" spans="1:36" x14ac:dyDescent="0.35">
      <c r="A22" s="14" t="str">
        <f>'Legend Attributes'!A22</f>
        <v>Iker Casillas</v>
      </c>
      <c r="B22" s="15" t="str">
        <f>'Legend Attributes'!B22</f>
        <v>GK</v>
      </c>
      <c r="C22" s="15">
        <f>IF('Legend Attributes'!C22=0,0,ROUND(IF(INDEX('Conversion Range'!$E$2:$E$35,MATCH(C$1,'Conversion Range'!$A$2:$A$35,0))=1,INDEX('Conversion Range'!$D$2:$D$35,MATCH(C$1,'Conversion Range'!$A$2:$A$35,0))-(('Legend Attributes'!C22-1)/19)*(INDEX('Conversion Range'!$D$2:$D$35,MATCH(C$1,'Conversion Range'!$A$2:$A$35,0))-INDEX('Conversion Range'!$C$2:$C$35,MATCH(C$1,'Conversion Range'!$A$2:$A$35,0))),INDEX('Conversion Range'!$C$2:$C$35,MATCH(C$1,'Conversion Range'!$A$2:$A$35,0))+(('Legend Attributes'!C22-1)/19)*(INDEX('Conversion Range'!$D$2:$D$35,MATCH(C$1,'Conversion Range'!$A$2:$A$35,0))-INDEX('Conversion Range'!$C$2:$C$35,MATCH(C$1,'Conversion Range'!$A$2:$A$35,0)))),3))</f>
        <v>0</v>
      </c>
      <c r="D22" s="15">
        <f>IF('Legend Attributes'!D22=0,0,ROUND(IF(INDEX('Conversion Range'!$E$2:$E$35,MATCH(D$1,'Conversion Range'!$A$2:$A$35,0))=1,INDEX('Conversion Range'!$D$2:$D$35,MATCH(D$1,'Conversion Range'!$A$2:$A$35,0))-(('Legend Attributes'!D22-1)/19)*(INDEX('Conversion Range'!$D$2:$D$35,MATCH(D$1,'Conversion Range'!$A$2:$A$35,0))-INDEX('Conversion Range'!$C$2:$C$35,MATCH(D$1,'Conversion Range'!$A$2:$A$35,0))),INDEX('Conversion Range'!$C$2:$C$35,MATCH(D$1,'Conversion Range'!$A$2:$A$35,0))+(('Legend Attributes'!D22-1)/19)*(INDEX('Conversion Range'!$D$2:$D$35,MATCH(D$1,'Conversion Range'!$A$2:$A$35,0))-INDEX('Conversion Range'!$C$2:$C$35,MATCH(D$1,'Conversion Range'!$A$2:$A$35,0)))),3))</f>
        <v>0</v>
      </c>
      <c r="E22" s="15">
        <f>IF('Legend Attributes'!E22=0,0,ROUND(IF(INDEX('Conversion Range'!$E$2:$E$35,MATCH(E$1,'Conversion Range'!$A$2:$A$35,0))=1,INDEX('Conversion Range'!$D$2:$D$35,MATCH(E$1,'Conversion Range'!$A$2:$A$35,0))-(('Legend Attributes'!E22-1)/19)*(INDEX('Conversion Range'!$D$2:$D$35,MATCH(E$1,'Conversion Range'!$A$2:$A$35,0))-INDEX('Conversion Range'!$C$2:$C$35,MATCH(E$1,'Conversion Range'!$A$2:$A$35,0))),INDEX('Conversion Range'!$C$2:$C$35,MATCH(E$1,'Conversion Range'!$A$2:$A$35,0))+(('Legend Attributes'!E22-1)/19)*(INDEX('Conversion Range'!$D$2:$D$35,MATCH(E$1,'Conversion Range'!$A$2:$A$35,0))-INDEX('Conversion Range'!$C$2:$C$35,MATCH(E$1,'Conversion Range'!$A$2:$A$35,0)))),3))</f>
        <v>0.01</v>
      </c>
      <c r="F22" s="15">
        <f>IF('Legend Attributes'!F22=0,0,ROUND(IF(INDEX('Conversion Range'!$E$2:$E$35,MATCH(F$1,'Conversion Range'!$A$2:$A$35,0))=1,INDEX('Conversion Range'!$D$2:$D$35,MATCH(F$1,'Conversion Range'!$A$2:$A$35,0))-(('Legend Attributes'!F22-1)/19)*(INDEX('Conversion Range'!$D$2:$D$35,MATCH(F$1,'Conversion Range'!$A$2:$A$35,0))-INDEX('Conversion Range'!$C$2:$C$35,MATCH(F$1,'Conversion Range'!$A$2:$A$35,0))),INDEX('Conversion Range'!$C$2:$C$35,MATCH(F$1,'Conversion Range'!$A$2:$A$35,0))+(('Legend Attributes'!F22-1)/19)*(INDEX('Conversion Range'!$D$2:$D$35,MATCH(F$1,'Conversion Range'!$A$2:$A$35,0))-INDEX('Conversion Range'!$C$2:$C$35,MATCH(F$1,'Conversion Range'!$A$2:$A$35,0)))),3))</f>
        <v>0</v>
      </c>
      <c r="G22" s="15">
        <f>IF('Legend Attributes'!G22=0,0,ROUND(IF(INDEX('Conversion Range'!$E$2:$E$35,MATCH(G$1,'Conversion Range'!$A$2:$A$35,0))=1,INDEX('Conversion Range'!$D$2:$D$35,MATCH(G$1,'Conversion Range'!$A$2:$A$35,0))-(('Legend Attributes'!G22-1)/19)*(INDEX('Conversion Range'!$D$2:$D$35,MATCH(G$1,'Conversion Range'!$A$2:$A$35,0))-INDEX('Conversion Range'!$C$2:$C$35,MATCH(G$1,'Conversion Range'!$A$2:$A$35,0))),INDEX('Conversion Range'!$C$2:$C$35,MATCH(G$1,'Conversion Range'!$A$2:$A$35,0))+(('Legend Attributes'!G22-1)/19)*(INDEX('Conversion Range'!$D$2:$D$35,MATCH(G$1,'Conversion Range'!$A$2:$A$35,0))-INDEX('Conversion Range'!$C$2:$C$35,MATCH(G$1,'Conversion Range'!$A$2:$A$35,0)))),3))</f>
        <v>0</v>
      </c>
      <c r="H22" s="15">
        <f>IF('Legend Attributes'!H22=0,0,ROUND(IF(INDEX('Conversion Range'!$E$2:$E$35,MATCH(H$1,'Conversion Range'!$A$2:$A$35,0))=1,INDEX('Conversion Range'!$D$2:$D$35,MATCH(H$1,'Conversion Range'!$A$2:$A$35,0))-(('Legend Attributes'!H22-1)/19)*(INDEX('Conversion Range'!$D$2:$D$35,MATCH(H$1,'Conversion Range'!$A$2:$A$35,0))-INDEX('Conversion Range'!$C$2:$C$35,MATCH(H$1,'Conversion Range'!$A$2:$A$35,0))),INDEX('Conversion Range'!$C$2:$C$35,MATCH(H$1,'Conversion Range'!$A$2:$A$35,0))+(('Legend Attributes'!H22-1)/19)*(INDEX('Conversion Range'!$D$2:$D$35,MATCH(H$1,'Conversion Range'!$A$2:$A$35,0))-INDEX('Conversion Range'!$C$2:$C$35,MATCH(H$1,'Conversion Range'!$A$2:$A$35,0)))),3))</f>
        <v>0</v>
      </c>
      <c r="I22" s="15">
        <f>IF('Legend Attributes'!I22=0,0,ROUND(IF(INDEX('Conversion Range'!$E$2:$E$35,MATCH(I$1,'Conversion Range'!$A$2:$A$35,0))=1,INDEX('Conversion Range'!$D$2:$D$35,MATCH(I$1,'Conversion Range'!$A$2:$A$35,0))-(('Legend Attributes'!I22-1)/19)*(INDEX('Conversion Range'!$D$2:$D$35,MATCH(I$1,'Conversion Range'!$A$2:$A$35,0))-INDEX('Conversion Range'!$C$2:$C$35,MATCH(I$1,'Conversion Range'!$A$2:$A$35,0))),INDEX('Conversion Range'!$C$2:$C$35,MATCH(I$1,'Conversion Range'!$A$2:$A$35,0))+(('Legend Attributes'!I22-1)/19)*(INDEX('Conversion Range'!$D$2:$D$35,MATCH(I$1,'Conversion Range'!$A$2:$A$35,0))-INDEX('Conversion Range'!$C$2:$C$35,MATCH(I$1,'Conversion Range'!$A$2:$A$35,0)))),3))</f>
        <v>0.1</v>
      </c>
      <c r="J22" s="15">
        <f>IF('Legend Attributes'!J22=0,0,ROUND(IF(INDEX('Conversion Range'!$E$2:$E$35,MATCH(J$1,'Conversion Range'!$A$2:$A$35,0))=1,INDEX('Conversion Range'!$D$2:$D$35,MATCH(J$1,'Conversion Range'!$A$2:$A$35,0))-(('Legend Attributes'!J22-1)/19)*(INDEX('Conversion Range'!$D$2:$D$35,MATCH(J$1,'Conversion Range'!$A$2:$A$35,0))-INDEX('Conversion Range'!$C$2:$C$35,MATCH(J$1,'Conversion Range'!$A$2:$A$35,0))),INDEX('Conversion Range'!$C$2:$C$35,MATCH(J$1,'Conversion Range'!$A$2:$A$35,0))+(('Legend Attributes'!J22-1)/19)*(INDEX('Conversion Range'!$D$2:$D$35,MATCH(J$1,'Conversion Range'!$A$2:$A$35,0))-INDEX('Conversion Range'!$C$2:$C$35,MATCH(J$1,'Conversion Range'!$A$2:$A$35,0)))),3))</f>
        <v>0.36299999999999999</v>
      </c>
      <c r="K22" s="15">
        <f>IF('Legend Attributes'!K22=0,0,ROUND(IF(INDEX('Conversion Range'!$E$2:$E$35,MATCH(K$1,'Conversion Range'!$A$2:$A$35,0))=1,INDEX('Conversion Range'!$D$2:$D$35,MATCH(K$1,'Conversion Range'!$A$2:$A$35,0))-(('Legend Attributes'!K22-1)/19)*(INDEX('Conversion Range'!$D$2:$D$35,MATCH(K$1,'Conversion Range'!$A$2:$A$35,0))-INDEX('Conversion Range'!$C$2:$C$35,MATCH(K$1,'Conversion Range'!$A$2:$A$35,0))),INDEX('Conversion Range'!$C$2:$C$35,MATCH(K$1,'Conversion Range'!$A$2:$A$35,0))+(('Legend Attributes'!K22-1)/19)*(INDEX('Conversion Range'!$D$2:$D$35,MATCH(K$1,'Conversion Range'!$A$2:$A$35,0))-INDEX('Conversion Range'!$C$2:$C$35,MATCH(K$1,'Conversion Range'!$A$2:$A$35,0)))),3))</f>
        <v>0.33200000000000002</v>
      </c>
      <c r="L22" s="15">
        <f>IF('Legend Attributes'!L22=0,0,ROUND(IF(INDEX('Conversion Range'!$E$2:$E$35,MATCH(L$1,'Conversion Range'!$A$2:$A$35,0))=1,INDEX('Conversion Range'!$D$2:$D$35,MATCH(L$1,'Conversion Range'!$A$2:$A$35,0))-(('Legend Attributes'!L22-1)/19)*(INDEX('Conversion Range'!$D$2:$D$35,MATCH(L$1,'Conversion Range'!$A$2:$A$35,0))-INDEX('Conversion Range'!$C$2:$C$35,MATCH(L$1,'Conversion Range'!$A$2:$A$35,0))),INDEX('Conversion Range'!$C$2:$C$35,MATCH(L$1,'Conversion Range'!$A$2:$A$35,0))+(('Legend Attributes'!L22-1)/19)*(INDEX('Conversion Range'!$D$2:$D$35,MATCH(L$1,'Conversion Range'!$A$2:$A$35,0))-INDEX('Conversion Range'!$C$2:$C$35,MATCH(L$1,'Conversion Range'!$A$2:$A$35,0)))),3))</f>
        <v>0</v>
      </c>
      <c r="M22" s="15">
        <f>IF('Legend Attributes'!M22=0,0,ROUND(IF(INDEX('Conversion Range'!$E$2:$E$35,MATCH(M$1,'Conversion Range'!$A$2:$A$35,0))=1,INDEX('Conversion Range'!$D$2:$D$35,MATCH(M$1,'Conversion Range'!$A$2:$A$35,0))-(('Legend Attributes'!M22-1)/19)*(INDEX('Conversion Range'!$D$2:$D$35,MATCH(M$1,'Conversion Range'!$A$2:$A$35,0))-INDEX('Conversion Range'!$C$2:$C$35,MATCH(M$1,'Conversion Range'!$A$2:$A$35,0))),INDEX('Conversion Range'!$C$2:$C$35,MATCH(M$1,'Conversion Range'!$A$2:$A$35,0))+(('Legend Attributes'!M22-1)/19)*(INDEX('Conversion Range'!$D$2:$D$35,MATCH(M$1,'Conversion Range'!$A$2:$A$35,0))-INDEX('Conversion Range'!$C$2:$C$35,MATCH(M$1,'Conversion Range'!$A$2:$A$35,0)))),3))</f>
        <v>0</v>
      </c>
      <c r="N22" s="15">
        <f>IF('Legend Attributes'!N22=0,0,ROUND(IF(INDEX('Conversion Range'!$E$2:$E$35,MATCH(N$1,'Conversion Range'!$A$2:$A$35,0))=1,INDEX('Conversion Range'!$D$2:$D$35,MATCH(N$1,'Conversion Range'!$A$2:$A$35,0))-(('Legend Attributes'!N22-1)/19)*(INDEX('Conversion Range'!$D$2:$D$35,MATCH(N$1,'Conversion Range'!$A$2:$A$35,0))-INDEX('Conversion Range'!$C$2:$C$35,MATCH(N$1,'Conversion Range'!$A$2:$A$35,0))),INDEX('Conversion Range'!$C$2:$C$35,MATCH(N$1,'Conversion Range'!$A$2:$A$35,0))+(('Legend Attributes'!N22-1)/19)*(INDEX('Conversion Range'!$D$2:$D$35,MATCH(N$1,'Conversion Range'!$A$2:$A$35,0))-INDEX('Conversion Range'!$C$2:$C$35,MATCH(N$1,'Conversion Range'!$A$2:$A$35,0)))),3))</f>
        <v>2.7890000000000001</v>
      </c>
      <c r="O22" s="15">
        <f>IF('Legend Attributes'!O22=0,0,ROUND(IF(INDEX('Conversion Range'!$E$2:$E$35,MATCH(O$1,'Conversion Range'!$A$2:$A$35,0))=1,INDEX('Conversion Range'!$D$2:$D$35,MATCH(O$1,'Conversion Range'!$A$2:$A$35,0))-(('Legend Attributes'!O22-1)/19)*(INDEX('Conversion Range'!$D$2:$D$35,MATCH(O$1,'Conversion Range'!$A$2:$A$35,0))-INDEX('Conversion Range'!$C$2:$C$35,MATCH(O$1,'Conversion Range'!$A$2:$A$35,0))),INDEX('Conversion Range'!$C$2:$C$35,MATCH(O$1,'Conversion Range'!$A$2:$A$35,0))+(('Legend Attributes'!O22-1)/19)*(INDEX('Conversion Range'!$D$2:$D$35,MATCH(O$1,'Conversion Range'!$A$2:$A$35,0))-INDEX('Conversion Range'!$C$2:$C$35,MATCH(O$1,'Conversion Range'!$A$2:$A$35,0)))),3))</f>
        <v>0.1</v>
      </c>
      <c r="P22" s="15">
        <f>IF('Legend Attributes'!P22=0,0,ROUND(IF(INDEX('Conversion Range'!$E$2:$E$35,MATCH(P$1,'Conversion Range'!$A$2:$A$35,0))=1,INDEX('Conversion Range'!$D$2:$D$35,MATCH(P$1,'Conversion Range'!$A$2:$A$35,0))-(('Legend Attributes'!P22-1)/19)*(INDEX('Conversion Range'!$D$2:$D$35,MATCH(P$1,'Conversion Range'!$A$2:$A$35,0))-INDEX('Conversion Range'!$C$2:$C$35,MATCH(P$1,'Conversion Range'!$A$2:$A$35,0))),INDEX('Conversion Range'!$C$2:$C$35,MATCH(P$1,'Conversion Range'!$A$2:$A$35,0))+(('Legend Attributes'!P22-1)/19)*(INDEX('Conversion Range'!$D$2:$D$35,MATCH(P$1,'Conversion Range'!$A$2:$A$35,0))-INDEX('Conversion Range'!$C$2:$C$35,MATCH(P$1,'Conversion Range'!$A$2:$A$35,0)))),3))</f>
        <v>50.262999999999998</v>
      </c>
      <c r="Q22" s="15">
        <f>IF('Legend Attributes'!Q22=0,0,ROUND(IF(INDEX('Conversion Range'!$E$2:$E$35,MATCH(Q$1,'Conversion Range'!$A$2:$A$35,0))=1,INDEX('Conversion Range'!$D$2:$D$35,MATCH(Q$1,'Conversion Range'!$A$2:$A$35,0))-(('Legend Attributes'!Q22-1)/19)*(INDEX('Conversion Range'!$D$2:$D$35,MATCH(Q$1,'Conversion Range'!$A$2:$A$35,0))-INDEX('Conversion Range'!$C$2:$C$35,MATCH(Q$1,'Conversion Range'!$A$2:$A$35,0))),INDEX('Conversion Range'!$C$2:$C$35,MATCH(Q$1,'Conversion Range'!$A$2:$A$35,0))+(('Legend Attributes'!Q22-1)/19)*(INDEX('Conversion Range'!$D$2:$D$35,MATCH(Q$1,'Conversion Range'!$A$2:$A$35,0))-INDEX('Conversion Range'!$C$2:$C$35,MATCH(Q$1,'Conversion Range'!$A$2:$A$35,0)))),3))</f>
        <v>43.683999999999997</v>
      </c>
      <c r="R22" s="15">
        <f>IF('Legend Attributes'!R22=0,0,ROUND(IF(INDEX('Conversion Range'!$E$2:$E$35,MATCH(R$1,'Conversion Range'!$A$2:$A$35,0))=1,INDEX('Conversion Range'!$D$2:$D$35,MATCH(R$1,'Conversion Range'!$A$2:$A$35,0))-(('Legend Attributes'!R22-1)/19)*(INDEX('Conversion Range'!$D$2:$D$35,MATCH(R$1,'Conversion Range'!$A$2:$A$35,0))-INDEX('Conversion Range'!$C$2:$C$35,MATCH(R$1,'Conversion Range'!$A$2:$A$35,0))),INDEX('Conversion Range'!$C$2:$C$35,MATCH(R$1,'Conversion Range'!$A$2:$A$35,0))+(('Legend Attributes'!R22-1)/19)*(INDEX('Conversion Range'!$D$2:$D$35,MATCH(R$1,'Conversion Range'!$A$2:$A$35,0))-INDEX('Conversion Range'!$C$2:$C$35,MATCH(R$1,'Conversion Range'!$A$2:$A$35,0)))),3))</f>
        <v>73.947000000000003</v>
      </c>
      <c r="S22" s="15">
        <f>IF('Legend Attributes'!S22=0,0,ROUND(IF(INDEX('Conversion Range'!$E$2:$E$35,MATCH(S$1,'Conversion Range'!$A$2:$A$35,0))=1,INDEX('Conversion Range'!$D$2:$D$35,MATCH(S$1,'Conversion Range'!$A$2:$A$35,0))-(('Legend Attributes'!S22-1)/19)*(INDEX('Conversion Range'!$D$2:$D$35,MATCH(S$1,'Conversion Range'!$A$2:$A$35,0))-INDEX('Conversion Range'!$C$2:$C$35,MATCH(S$1,'Conversion Range'!$A$2:$A$35,0))),INDEX('Conversion Range'!$C$2:$C$35,MATCH(S$1,'Conversion Range'!$A$2:$A$35,0))+(('Legend Attributes'!S22-1)/19)*(INDEX('Conversion Range'!$D$2:$D$35,MATCH(S$1,'Conversion Range'!$A$2:$A$35,0))-INDEX('Conversion Range'!$C$2:$C$35,MATCH(S$1,'Conversion Range'!$A$2:$A$35,0)))),3))</f>
        <v>0.73199999999999998</v>
      </c>
      <c r="T22" s="15">
        <f>IF('Legend Attributes'!T22=0,0,ROUND(IF(INDEX('Conversion Range'!$E$2:$E$35,MATCH(T$1,'Conversion Range'!$A$2:$A$35,0))=1,INDEX('Conversion Range'!$D$2:$D$35,MATCH(T$1,'Conversion Range'!$A$2:$A$35,0))-(('Legend Attributes'!T22-1)/19)*(INDEX('Conversion Range'!$D$2:$D$35,MATCH(T$1,'Conversion Range'!$A$2:$A$35,0))-INDEX('Conversion Range'!$C$2:$C$35,MATCH(T$1,'Conversion Range'!$A$2:$A$35,0))),INDEX('Conversion Range'!$C$2:$C$35,MATCH(T$1,'Conversion Range'!$A$2:$A$35,0))+(('Legend Attributes'!T22-1)/19)*(INDEX('Conversion Range'!$D$2:$D$35,MATCH(T$1,'Conversion Range'!$A$2:$A$35,0))-INDEX('Conversion Range'!$C$2:$C$35,MATCH(T$1,'Conversion Range'!$A$2:$A$35,0)))),3))</f>
        <v>40.841999999999999</v>
      </c>
      <c r="U22" s="15">
        <f>IF('Legend Attributes'!U22=0,0,ROUND(IF(INDEX('Conversion Range'!$E$2:$E$35,MATCH(U$1,'Conversion Range'!$A$2:$A$35,0))=1,INDEX('Conversion Range'!$D$2:$D$35,MATCH(U$1,'Conversion Range'!$A$2:$A$35,0))-(('Legend Attributes'!U22-1)/19)*(INDEX('Conversion Range'!$D$2:$D$35,MATCH(U$1,'Conversion Range'!$A$2:$A$35,0))-INDEX('Conversion Range'!$C$2:$C$35,MATCH(U$1,'Conversion Range'!$A$2:$A$35,0))),INDEX('Conversion Range'!$C$2:$C$35,MATCH(U$1,'Conversion Range'!$A$2:$A$35,0))+(('Legend Attributes'!U22-1)/19)*(INDEX('Conversion Range'!$D$2:$D$35,MATCH(U$1,'Conversion Range'!$A$2:$A$35,0))-INDEX('Conversion Range'!$C$2:$C$35,MATCH(U$1,'Conversion Range'!$A$2:$A$35,0)))),3))</f>
        <v>1.121</v>
      </c>
      <c r="V22" s="15">
        <f>IF('Legend Attributes'!V22=0,0,ROUND(IF(INDEX('Conversion Range'!$E$2:$E$35,MATCH(V$1,'Conversion Range'!$A$2:$A$35,0))=1,INDEX('Conversion Range'!$D$2:$D$35,MATCH(V$1,'Conversion Range'!$A$2:$A$35,0))-(('Legend Attributes'!V22-1)/19)*(INDEX('Conversion Range'!$D$2:$D$35,MATCH(V$1,'Conversion Range'!$A$2:$A$35,0))-INDEX('Conversion Range'!$C$2:$C$35,MATCH(V$1,'Conversion Range'!$A$2:$A$35,0))),INDEX('Conversion Range'!$C$2:$C$35,MATCH(V$1,'Conversion Range'!$A$2:$A$35,0))+(('Legend Attributes'!V22-1)/19)*(INDEX('Conversion Range'!$D$2:$D$35,MATCH(V$1,'Conversion Range'!$A$2:$A$35,0))-INDEX('Conversion Range'!$C$2:$C$35,MATCH(V$1,'Conversion Range'!$A$2:$A$35,0)))),3))</f>
        <v>46.579000000000001</v>
      </c>
      <c r="W22" s="15">
        <f>IF('Legend Attributes'!W22=0,0,ROUND(IF(INDEX('Conversion Range'!$E$2:$E$35,MATCH(W$1,'Conversion Range'!$A$2:$A$35,0))=1,INDEX('Conversion Range'!$D$2:$D$35,MATCH(W$1,'Conversion Range'!$A$2:$A$35,0))-(('Legend Attributes'!W22-1)/19)*(INDEX('Conversion Range'!$D$2:$D$35,MATCH(W$1,'Conversion Range'!$A$2:$A$35,0))-INDEX('Conversion Range'!$C$2:$C$35,MATCH(W$1,'Conversion Range'!$A$2:$A$35,0))),INDEX('Conversion Range'!$C$2:$C$35,MATCH(W$1,'Conversion Range'!$A$2:$A$35,0))+(('Legend Attributes'!W22-1)/19)*(INDEX('Conversion Range'!$D$2:$D$35,MATCH(W$1,'Conversion Range'!$A$2:$A$35,0))-INDEX('Conversion Range'!$C$2:$C$35,MATCH(W$1,'Conversion Range'!$A$2:$A$35,0)))),3))</f>
        <v>0</v>
      </c>
      <c r="X22" s="15">
        <f>IF('Legend Attributes'!X22=0,0,ROUND(IF(INDEX('Conversion Range'!$E$2:$E$35,MATCH(X$1,'Conversion Range'!$A$2:$A$35,0))=1,INDEX('Conversion Range'!$D$2:$D$35,MATCH(X$1,'Conversion Range'!$A$2:$A$35,0))-(('Legend Attributes'!X22-1)/19)*(INDEX('Conversion Range'!$D$2:$D$35,MATCH(X$1,'Conversion Range'!$A$2:$A$35,0))-INDEX('Conversion Range'!$C$2:$C$35,MATCH(X$1,'Conversion Range'!$A$2:$A$35,0))),INDEX('Conversion Range'!$C$2:$C$35,MATCH(X$1,'Conversion Range'!$A$2:$A$35,0))+(('Legend Attributes'!X22-1)/19)*(INDEX('Conversion Range'!$D$2:$D$35,MATCH(X$1,'Conversion Range'!$A$2:$A$35,0))-INDEX('Conversion Range'!$C$2:$C$35,MATCH(X$1,'Conversion Range'!$A$2:$A$35,0)))),3))</f>
        <v>0</v>
      </c>
      <c r="Y22" s="15">
        <f>IF('Legend Attributes'!Y22=0,0,ROUND(IF(INDEX('Conversion Range'!$E$2:$E$35,MATCH(Y$1,'Conversion Range'!$A$2:$A$35,0))=1,INDEX('Conversion Range'!$D$2:$D$35,MATCH(Y$1,'Conversion Range'!$A$2:$A$35,0))-(('Legend Attributes'!Y22-1)/19)*(INDEX('Conversion Range'!$D$2:$D$35,MATCH(Y$1,'Conversion Range'!$A$2:$A$35,0))-INDEX('Conversion Range'!$C$2:$C$35,MATCH(Y$1,'Conversion Range'!$A$2:$A$35,0))),INDEX('Conversion Range'!$C$2:$C$35,MATCH(Y$1,'Conversion Range'!$A$2:$A$35,0))+(('Legend Attributes'!Y22-1)/19)*(INDEX('Conversion Range'!$D$2:$D$35,MATCH(Y$1,'Conversion Range'!$A$2:$A$35,0))-INDEX('Conversion Range'!$C$2:$C$35,MATCH(Y$1,'Conversion Range'!$A$2:$A$35,0)))),3))</f>
        <v>0.47399999999999998</v>
      </c>
      <c r="Z22" s="15">
        <f>IF('Legend Attributes'!Z22=0,0,ROUND(IF(INDEX('Conversion Range'!$E$2:$E$35,MATCH(Z$1,'Conversion Range'!$A$2:$A$35,0))=1,INDEX('Conversion Range'!$D$2:$D$35,MATCH(Z$1,'Conversion Range'!$A$2:$A$35,0))-(('Legend Attributes'!Z22-1)/19)*(INDEX('Conversion Range'!$D$2:$D$35,MATCH(Z$1,'Conversion Range'!$A$2:$A$35,0))-INDEX('Conversion Range'!$C$2:$C$35,MATCH(Z$1,'Conversion Range'!$A$2:$A$35,0))),INDEX('Conversion Range'!$C$2:$C$35,MATCH(Z$1,'Conversion Range'!$A$2:$A$35,0))+(('Legend Attributes'!Z22-1)/19)*(INDEX('Conversion Range'!$D$2:$D$35,MATCH(Z$1,'Conversion Range'!$A$2:$A$35,0))-INDEX('Conversion Range'!$C$2:$C$35,MATCH(Z$1,'Conversion Range'!$A$2:$A$35,0)))),3))</f>
        <v>11.395</v>
      </c>
      <c r="AA22" s="15">
        <f>IF('Legend Attributes'!AA22=0,0,ROUND(IF(INDEX('Conversion Range'!$E$2:$E$35,MATCH(AA$1,'Conversion Range'!$A$2:$A$35,0))=1,INDEX('Conversion Range'!$D$2:$D$35,MATCH(AA$1,'Conversion Range'!$A$2:$A$35,0))-(('Legend Attributes'!AA22-1)/19)*(INDEX('Conversion Range'!$D$2:$D$35,MATCH(AA$1,'Conversion Range'!$A$2:$A$35,0))-INDEX('Conversion Range'!$C$2:$C$35,MATCH(AA$1,'Conversion Range'!$A$2:$A$35,0))),INDEX('Conversion Range'!$C$2:$C$35,MATCH(AA$1,'Conversion Range'!$A$2:$A$35,0))+(('Legend Attributes'!AA22-1)/19)*(INDEX('Conversion Range'!$D$2:$D$35,MATCH(AA$1,'Conversion Range'!$A$2:$A$35,0))-INDEX('Conversion Range'!$C$2:$C$35,MATCH(AA$1,'Conversion Range'!$A$2:$A$35,0)))),3))</f>
        <v>0</v>
      </c>
      <c r="AB22" s="15">
        <f>IF('Legend Attributes'!AB22=0,0,ROUND(IF(INDEX('Conversion Range'!$E$2:$E$35,MATCH(AB$1,'Conversion Range'!$A$2:$A$35,0))=1,INDEX('Conversion Range'!$D$2:$D$35,MATCH(AB$1,'Conversion Range'!$A$2:$A$35,0))-(('Legend Attributes'!AB22-1)/19)*(INDEX('Conversion Range'!$D$2:$D$35,MATCH(AB$1,'Conversion Range'!$A$2:$A$35,0))-INDEX('Conversion Range'!$C$2:$C$35,MATCH(AB$1,'Conversion Range'!$A$2:$A$35,0))),INDEX('Conversion Range'!$C$2:$C$35,MATCH(AB$1,'Conversion Range'!$A$2:$A$35,0))+(('Legend Attributes'!AB22-1)/19)*(INDEX('Conversion Range'!$D$2:$D$35,MATCH(AB$1,'Conversion Range'!$A$2:$A$35,0))-INDEX('Conversion Range'!$C$2:$C$35,MATCH(AB$1,'Conversion Range'!$A$2:$A$35,0)))),3))</f>
        <v>0.05</v>
      </c>
      <c r="AC22" s="15">
        <f>IF('Legend Attributes'!AC22=0,0,ROUND(IF(INDEX('Conversion Range'!$E$2:$E$35,MATCH(AC$1,'Conversion Range'!$A$2:$A$35,0))=1,INDEX('Conversion Range'!$D$2:$D$35,MATCH(AC$1,'Conversion Range'!$A$2:$A$35,0))-(('Legend Attributes'!AC22-1)/19)*(INDEX('Conversion Range'!$D$2:$D$35,MATCH(AC$1,'Conversion Range'!$A$2:$A$35,0))-INDEX('Conversion Range'!$C$2:$C$35,MATCH(AC$1,'Conversion Range'!$A$2:$A$35,0))),INDEX('Conversion Range'!$C$2:$C$35,MATCH(AC$1,'Conversion Range'!$A$2:$A$35,0))+(('Legend Attributes'!AC22-1)/19)*(INDEX('Conversion Range'!$D$2:$D$35,MATCH(AC$1,'Conversion Range'!$A$2:$A$35,0))-INDEX('Conversion Range'!$C$2:$C$35,MATCH(AC$1,'Conversion Range'!$A$2:$A$35,0)))),3))</f>
        <v>0.03</v>
      </c>
      <c r="AD22" s="15">
        <f>IF('Legend Attributes'!AD22=0,0,ROUND(IF(INDEX('Conversion Range'!$E$2:$E$35,MATCH(AD$1,'Conversion Range'!$A$2:$A$35,0))=1,INDEX('Conversion Range'!$D$2:$D$35,MATCH(AD$1,'Conversion Range'!$A$2:$A$35,0))-(('Legend Attributes'!AD22-1)/19)*(INDEX('Conversion Range'!$D$2:$D$35,MATCH(AD$1,'Conversion Range'!$A$2:$A$35,0))-INDEX('Conversion Range'!$C$2:$C$35,MATCH(AD$1,'Conversion Range'!$A$2:$A$35,0))),INDEX('Conversion Range'!$C$2:$C$35,MATCH(AD$1,'Conversion Range'!$A$2:$A$35,0))+(('Legend Attributes'!AD22-1)/19)*(INDEX('Conversion Range'!$D$2:$D$35,MATCH(AD$1,'Conversion Range'!$A$2:$A$35,0))-INDEX('Conversion Range'!$C$2:$C$35,MATCH(AD$1,'Conversion Range'!$A$2:$A$35,0)))),3))</f>
        <v>4.3159999999999998</v>
      </c>
      <c r="AE22" s="15">
        <f>IF('Legend Attributes'!AE22=0,0,ROUND(IF(INDEX('Conversion Range'!$E$2:$E$35,MATCH(AE$1,'Conversion Range'!$A$2:$A$35,0))=1,INDEX('Conversion Range'!$D$2:$D$35,MATCH(AE$1,'Conversion Range'!$A$2:$A$35,0))-(('Legend Attributes'!AE22-1)/19)*(INDEX('Conversion Range'!$D$2:$D$35,MATCH(AE$1,'Conversion Range'!$A$2:$A$35,0))-INDEX('Conversion Range'!$C$2:$C$35,MATCH(AE$1,'Conversion Range'!$A$2:$A$35,0))),INDEX('Conversion Range'!$C$2:$C$35,MATCH(AE$1,'Conversion Range'!$A$2:$A$35,0))+(('Legend Attributes'!AE22-1)/19)*(INDEX('Conversion Range'!$D$2:$D$35,MATCH(AE$1,'Conversion Range'!$A$2:$A$35,0))-INDEX('Conversion Range'!$C$2:$C$35,MATCH(AE$1,'Conversion Range'!$A$2:$A$35,0)))),3))</f>
        <v>0.48899999999999999</v>
      </c>
      <c r="AF22" s="15">
        <f>IF('Legend Attributes'!AF22=0,0,ROUND(IF(INDEX('Conversion Range'!$E$2:$E$35,MATCH(AF$1,'Conversion Range'!$A$2:$A$35,0))=1,INDEX('Conversion Range'!$D$2:$D$35,MATCH(AF$1,'Conversion Range'!$A$2:$A$35,0))-(('Legend Attributes'!AF22-1)/19)*(INDEX('Conversion Range'!$D$2:$D$35,MATCH(AF$1,'Conversion Range'!$A$2:$A$35,0))-INDEX('Conversion Range'!$C$2:$C$35,MATCH(AF$1,'Conversion Range'!$A$2:$A$35,0))),INDEX('Conversion Range'!$C$2:$C$35,MATCH(AF$1,'Conversion Range'!$A$2:$A$35,0))+(('Legend Attributes'!AF22-1)/19)*(INDEX('Conversion Range'!$D$2:$D$35,MATCH(AF$1,'Conversion Range'!$A$2:$A$35,0))-INDEX('Conversion Range'!$C$2:$C$35,MATCH(AF$1,'Conversion Range'!$A$2:$A$35,0)))),3))</f>
        <v>44.473999999999997</v>
      </c>
      <c r="AG22" s="15">
        <f>IF('Legend Attributes'!AG22=0,0,ROUND(IF(INDEX('Conversion Range'!$E$2:$E$35,MATCH(AG$1,'Conversion Range'!$A$2:$A$35,0))=1,INDEX('Conversion Range'!$D$2:$D$35,MATCH(AG$1,'Conversion Range'!$A$2:$A$35,0))-(('Legend Attributes'!AG22-1)/19)*(INDEX('Conversion Range'!$D$2:$D$35,MATCH(AG$1,'Conversion Range'!$A$2:$A$35,0))-INDEX('Conversion Range'!$C$2:$C$35,MATCH(AG$1,'Conversion Range'!$A$2:$A$35,0))),INDEX('Conversion Range'!$C$2:$C$35,MATCH(AG$1,'Conversion Range'!$A$2:$A$35,0))+(('Legend Attributes'!AG22-1)/19)*(INDEX('Conversion Range'!$D$2:$D$35,MATCH(AG$1,'Conversion Range'!$A$2:$A$35,0))-INDEX('Conversion Range'!$C$2:$C$35,MATCH(AG$1,'Conversion Range'!$A$2:$A$35,0)))),3))</f>
        <v>0.81599999999999995</v>
      </c>
      <c r="AH22" s="15">
        <f>IF('Legend Attributes'!AH22=0,0,ROUND(IF(INDEX('Conversion Range'!$E$2:$E$35,MATCH(AH$1,'Conversion Range'!$A$2:$A$35,0))=1,INDEX('Conversion Range'!$D$2:$D$35,MATCH(AH$1,'Conversion Range'!$A$2:$A$35,0))-(('Legend Attributes'!AH22-1)/19)*(INDEX('Conversion Range'!$D$2:$D$35,MATCH(AH$1,'Conversion Range'!$A$2:$A$35,0))-INDEX('Conversion Range'!$C$2:$C$35,MATCH(AH$1,'Conversion Range'!$A$2:$A$35,0))),INDEX('Conversion Range'!$C$2:$C$35,MATCH(AH$1,'Conversion Range'!$A$2:$A$35,0))+(('Legend Attributes'!AH22-1)/19)*(INDEX('Conversion Range'!$D$2:$D$35,MATCH(AH$1,'Conversion Range'!$A$2:$A$35,0))-INDEX('Conversion Range'!$C$2:$C$35,MATCH(AH$1,'Conversion Range'!$A$2:$A$35,0)))),3))</f>
        <v>8.7999999999999995E-2</v>
      </c>
      <c r="AI22" s="15">
        <f>IF('Legend Attributes'!AI22=0,0,ROUND(IF(INDEX('Conversion Range'!$E$2:$E$35,MATCH(AI$1,'Conversion Range'!$A$2:$A$35,0))=1,INDEX('Conversion Range'!$D$2:$D$35,MATCH(AI$1,'Conversion Range'!$A$2:$A$35,0))-(('Legend Attributes'!AI22-1)/19)*(INDEX('Conversion Range'!$D$2:$D$35,MATCH(AI$1,'Conversion Range'!$A$2:$A$35,0))-INDEX('Conversion Range'!$C$2:$C$35,MATCH(AI$1,'Conversion Range'!$A$2:$A$35,0))),INDEX('Conversion Range'!$C$2:$C$35,MATCH(AI$1,'Conversion Range'!$A$2:$A$35,0))+(('Legend Attributes'!AI22-1)/19)*(INDEX('Conversion Range'!$D$2:$D$35,MATCH(AI$1,'Conversion Range'!$A$2:$A$35,0))-INDEX('Conversion Range'!$C$2:$C$35,MATCH(AI$1,'Conversion Range'!$A$2:$A$35,0)))),3))</f>
        <v>1.2999999999999999E-2</v>
      </c>
      <c r="AJ22" s="15">
        <f>IF('Legend Attributes'!AJ22=0,0,ROUND(IF(INDEX('Conversion Range'!$E$2:$E$35,MATCH(AJ$1,'Conversion Range'!$A$2:$A$35,0))=1,INDEX('Conversion Range'!$D$2:$D$35,MATCH(AJ$1,'Conversion Range'!$A$2:$A$35,0))-(('Legend Attributes'!AJ22-1)/19)*(INDEX('Conversion Range'!$D$2:$D$35,MATCH(AJ$1,'Conversion Range'!$A$2:$A$35,0))-INDEX('Conversion Range'!$C$2:$C$35,MATCH(AJ$1,'Conversion Range'!$A$2:$A$35,0))),INDEX('Conversion Range'!$C$2:$C$35,MATCH(AJ$1,'Conversion Range'!$A$2:$A$35,0))+(('Legend Attributes'!AJ22-1)/19)*(INDEX('Conversion Range'!$D$2:$D$35,MATCH(AJ$1,'Conversion Range'!$A$2:$A$35,0))-INDEX('Conversion Range'!$C$2:$C$35,MATCH(AJ$1,'Conversion Range'!$A$2:$A$35,0)))),3))</f>
        <v>7.9160000000000004</v>
      </c>
    </row>
    <row r="23" spans="1:36" x14ac:dyDescent="0.35">
      <c r="A23" s="14" t="str">
        <f>'Legend Attributes'!A23</f>
        <v>Petr Čech</v>
      </c>
      <c r="B23" s="15" t="str">
        <f>'Legend Attributes'!B23</f>
        <v>GK</v>
      </c>
      <c r="C23" s="15">
        <f>IF('Legend Attributes'!C23=0,0,ROUND(IF(INDEX('Conversion Range'!$E$2:$E$35,MATCH(C$1,'Conversion Range'!$A$2:$A$35,0))=1,INDEX('Conversion Range'!$D$2:$D$35,MATCH(C$1,'Conversion Range'!$A$2:$A$35,0))-(('Legend Attributes'!C23-1)/19)*(INDEX('Conversion Range'!$D$2:$D$35,MATCH(C$1,'Conversion Range'!$A$2:$A$35,0))-INDEX('Conversion Range'!$C$2:$C$35,MATCH(C$1,'Conversion Range'!$A$2:$A$35,0))),INDEX('Conversion Range'!$C$2:$C$35,MATCH(C$1,'Conversion Range'!$A$2:$A$35,0))+(('Legend Attributes'!C23-1)/19)*(INDEX('Conversion Range'!$D$2:$D$35,MATCH(C$1,'Conversion Range'!$A$2:$A$35,0))-INDEX('Conversion Range'!$C$2:$C$35,MATCH(C$1,'Conversion Range'!$A$2:$A$35,0)))),3))</f>
        <v>0</v>
      </c>
      <c r="D23" s="15">
        <f>IF('Legend Attributes'!D23=0,0,ROUND(IF(INDEX('Conversion Range'!$E$2:$E$35,MATCH(D$1,'Conversion Range'!$A$2:$A$35,0))=1,INDEX('Conversion Range'!$D$2:$D$35,MATCH(D$1,'Conversion Range'!$A$2:$A$35,0))-(('Legend Attributes'!D23-1)/19)*(INDEX('Conversion Range'!$D$2:$D$35,MATCH(D$1,'Conversion Range'!$A$2:$A$35,0))-INDEX('Conversion Range'!$C$2:$C$35,MATCH(D$1,'Conversion Range'!$A$2:$A$35,0))),INDEX('Conversion Range'!$C$2:$C$35,MATCH(D$1,'Conversion Range'!$A$2:$A$35,0))+(('Legend Attributes'!D23-1)/19)*(INDEX('Conversion Range'!$D$2:$D$35,MATCH(D$1,'Conversion Range'!$A$2:$A$35,0))-INDEX('Conversion Range'!$C$2:$C$35,MATCH(D$1,'Conversion Range'!$A$2:$A$35,0)))),3))</f>
        <v>0</v>
      </c>
      <c r="E23" s="15">
        <f>IF('Legend Attributes'!E23=0,0,ROUND(IF(INDEX('Conversion Range'!$E$2:$E$35,MATCH(E$1,'Conversion Range'!$A$2:$A$35,0))=1,INDEX('Conversion Range'!$D$2:$D$35,MATCH(E$1,'Conversion Range'!$A$2:$A$35,0))-(('Legend Attributes'!E23-1)/19)*(INDEX('Conversion Range'!$D$2:$D$35,MATCH(E$1,'Conversion Range'!$A$2:$A$35,0))-INDEX('Conversion Range'!$C$2:$C$35,MATCH(E$1,'Conversion Range'!$A$2:$A$35,0))),INDEX('Conversion Range'!$C$2:$C$35,MATCH(E$1,'Conversion Range'!$A$2:$A$35,0))+(('Legend Attributes'!E23-1)/19)*(INDEX('Conversion Range'!$D$2:$D$35,MATCH(E$1,'Conversion Range'!$A$2:$A$35,0))-INDEX('Conversion Range'!$C$2:$C$35,MATCH(E$1,'Conversion Range'!$A$2:$A$35,0)))),3))</f>
        <v>0.01</v>
      </c>
      <c r="F23" s="15">
        <f>IF('Legend Attributes'!F23=0,0,ROUND(IF(INDEX('Conversion Range'!$E$2:$E$35,MATCH(F$1,'Conversion Range'!$A$2:$A$35,0))=1,INDEX('Conversion Range'!$D$2:$D$35,MATCH(F$1,'Conversion Range'!$A$2:$A$35,0))-(('Legend Attributes'!F23-1)/19)*(INDEX('Conversion Range'!$D$2:$D$35,MATCH(F$1,'Conversion Range'!$A$2:$A$35,0))-INDEX('Conversion Range'!$C$2:$C$35,MATCH(F$1,'Conversion Range'!$A$2:$A$35,0))),INDEX('Conversion Range'!$C$2:$C$35,MATCH(F$1,'Conversion Range'!$A$2:$A$35,0))+(('Legend Attributes'!F23-1)/19)*(INDEX('Conversion Range'!$D$2:$D$35,MATCH(F$1,'Conversion Range'!$A$2:$A$35,0))-INDEX('Conversion Range'!$C$2:$C$35,MATCH(F$1,'Conversion Range'!$A$2:$A$35,0)))),3))</f>
        <v>0</v>
      </c>
      <c r="G23" s="15">
        <f>IF('Legend Attributes'!G23=0,0,ROUND(IF(INDEX('Conversion Range'!$E$2:$E$35,MATCH(G$1,'Conversion Range'!$A$2:$A$35,0))=1,INDEX('Conversion Range'!$D$2:$D$35,MATCH(G$1,'Conversion Range'!$A$2:$A$35,0))-(('Legend Attributes'!G23-1)/19)*(INDEX('Conversion Range'!$D$2:$D$35,MATCH(G$1,'Conversion Range'!$A$2:$A$35,0))-INDEX('Conversion Range'!$C$2:$C$35,MATCH(G$1,'Conversion Range'!$A$2:$A$35,0))),INDEX('Conversion Range'!$C$2:$C$35,MATCH(G$1,'Conversion Range'!$A$2:$A$35,0))+(('Legend Attributes'!G23-1)/19)*(INDEX('Conversion Range'!$D$2:$D$35,MATCH(G$1,'Conversion Range'!$A$2:$A$35,0))-INDEX('Conversion Range'!$C$2:$C$35,MATCH(G$1,'Conversion Range'!$A$2:$A$35,0)))),3))</f>
        <v>0</v>
      </c>
      <c r="H23" s="15">
        <f>IF('Legend Attributes'!H23=0,0,ROUND(IF(INDEX('Conversion Range'!$E$2:$E$35,MATCH(H$1,'Conversion Range'!$A$2:$A$35,0))=1,INDEX('Conversion Range'!$D$2:$D$35,MATCH(H$1,'Conversion Range'!$A$2:$A$35,0))-(('Legend Attributes'!H23-1)/19)*(INDEX('Conversion Range'!$D$2:$D$35,MATCH(H$1,'Conversion Range'!$A$2:$A$35,0))-INDEX('Conversion Range'!$C$2:$C$35,MATCH(H$1,'Conversion Range'!$A$2:$A$35,0))),INDEX('Conversion Range'!$C$2:$C$35,MATCH(H$1,'Conversion Range'!$A$2:$A$35,0))+(('Legend Attributes'!H23-1)/19)*(INDEX('Conversion Range'!$D$2:$D$35,MATCH(H$1,'Conversion Range'!$A$2:$A$35,0))-INDEX('Conversion Range'!$C$2:$C$35,MATCH(H$1,'Conversion Range'!$A$2:$A$35,0)))),3))</f>
        <v>0</v>
      </c>
      <c r="I23" s="15">
        <f>IF('Legend Attributes'!I23=0,0,ROUND(IF(INDEX('Conversion Range'!$E$2:$E$35,MATCH(I$1,'Conversion Range'!$A$2:$A$35,0))=1,INDEX('Conversion Range'!$D$2:$D$35,MATCH(I$1,'Conversion Range'!$A$2:$A$35,0))-(('Legend Attributes'!I23-1)/19)*(INDEX('Conversion Range'!$D$2:$D$35,MATCH(I$1,'Conversion Range'!$A$2:$A$35,0))-INDEX('Conversion Range'!$C$2:$C$35,MATCH(I$1,'Conversion Range'!$A$2:$A$35,0))),INDEX('Conversion Range'!$C$2:$C$35,MATCH(I$1,'Conversion Range'!$A$2:$A$35,0))+(('Legend Attributes'!I23-1)/19)*(INDEX('Conversion Range'!$D$2:$D$35,MATCH(I$1,'Conversion Range'!$A$2:$A$35,0))-INDEX('Conversion Range'!$C$2:$C$35,MATCH(I$1,'Conversion Range'!$A$2:$A$35,0)))),3))</f>
        <v>0.1</v>
      </c>
      <c r="J23" s="15">
        <f>IF('Legend Attributes'!J23=0,0,ROUND(IF(INDEX('Conversion Range'!$E$2:$E$35,MATCH(J$1,'Conversion Range'!$A$2:$A$35,0))=1,INDEX('Conversion Range'!$D$2:$D$35,MATCH(J$1,'Conversion Range'!$A$2:$A$35,0))-(('Legend Attributes'!J23-1)/19)*(INDEX('Conversion Range'!$D$2:$D$35,MATCH(J$1,'Conversion Range'!$A$2:$A$35,0))-INDEX('Conversion Range'!$C$2:$C$35,MATCH(J$1,'Conversion Range'!$A$2:$A$35,0))),INDEX('Conversion Range'!$C$2:$C$35,MATCH(J$1,'Conversion Range'!$A$2:$A$35,0))+(('Legend Attributes'!J23-1)/19)*(INDEX('Conversion Range'!$D$2:$D$35,MATCH(J$1,'Conversion Range'!$A$2:$A$35,0))-INDEX('Conversion Range'!$C$2:$C$35,MATCH(J$1,'Conversion Range'!$A$2:$A$35,0)))),3))</f>
        <v>0.36299999999999999</v>
      </c>
      <c r="K23" s="15">
        <f>IF('Legend Attributes'!K23=0,0,ROUND(IF(INDEX('Conversion Range'!$E$2:$E$35,MATCH(K$1,'Conversion Range'!$A$2:$A$35,0))=1,INDEX('Conversion Range'!$D$2:$D$35,MATCH(K$1,'Conversion Range'!$A$2:$A$35,0))-(('Legend Attributes'!K23-1)/19)*(INDEX('Conversion Range'!$D$2:$D$35,MATCH(K$1,'Conversion Range'!$A$2:$A$35,0))-INDEX('Conversion Range'!$C$2:$C$35,MATCH(K$1,'Conversion Range'!$A$2:$A$35,0))),INDEX('Conversion Range'!$C$2:$C$35,MATCH(K$1,'Conversion Range'!$A$2:$A$35,0))+(('Legend Attributes'!K23-1)/19)*(INDEX('Conversion Range'!$D$2:$D$35,MATCH(K$1,'Conversion Range'!$A$2:$A$35,0))-INDEX('Conversion Range'!$C$2:$C$35,MATCH(K$1,'Conversion Range'!$A$2:$A$35,0)))),3))</f>
        <v>0.33200000000000002</v>
      </c>
      <c r="L23" s="15">
        <f>IF('Legend Attributes'!L23=0,0,ROUND(IF(INDEX('Conversion Range'!$E$2:$E$35,MATCH(L$1,'Conversion Range'!$A$2:$A$35,0))=1,INDEX('Conversion Range'!$D$2:$D$35,MATCH(L$1,'Conversion Range'!$A$2:$A$35,0))-(('Legend Attributes'!L23-1)/19)*(INDEX('Conversion Range'!$D$2:$D$35,MATCH(L$1,'Conversion Range'!$A$2:$A$35,0))-INDEX('Conversion Range'!$C$2:$C$35,MATCH(L$1,'Conversion Range'!$A$2:$A$35,0))),INDEX('Conversion Range'!$C$2:$C$35,MATCH(L$1,'Conversion Range'!$A$2:$A$35,0))+(('Legend Attributes'!L23-1)/19)*(INDEX('Conversion Range'!$D$2:$D$35,MATCH(L$1,'Conversion Range'!$A$2:$A$35,0))-INDEX('Conversion Range'!$C$2:$C$35,MATCH(L$1,'Conversion Range'!$A$2:$A$35,0)))),3))</f>
        <v>0</v>
      </c>
      <c r="M23" s="15">
        <f>IF('Legend Attributes'!M23=0,0,ROUND(IF(INDEX('Conversion Range'!$E$2:$E$35,MATCH(M$1,'Conversion Range'!$A$2:$A$35,0))=1,INDEX('Conversion Range'!$D$2:$D$35,MATCH(M$1,'Conversion Range'!$A$2:$A$35,0))-(('Legend Attributes'!M23-1)/19)*(INDEX('Conversion Range'!$D$2:$D$35,MATCH(M$1,'Conversion Range'!$A$2:$A$35,0))-INDEX('Conversion Range'!$C$2:$C$35,MATCH(M$1,'Conversion Range'!$A$2:$A$35,0))),INDEX('Conversion Range'!$C$2:$C$35,MATCH(M$1,'Conversion Range'!$A$2:$A$35,0))+(('Legend Attributes'!M23-1)/19)*(INDEX('Conversion Range'!$D$2:$D$35,MATCH(M$1,'Conversion Range'!$A$2:$A$35,0))-INDEX('Conversion Range'!$C$2:$C$35,MATCH(M$1,'Conversion Range'!$A$2:$A$35,0)))),3))</f>
        <v>0</v>
      </c>
      <c r="N23" s="15">
        <f>IF('Legend Attributes'!N23=0,0,ROUND(IF(INDEX('Conversion Range'!$E$2:$E$35,MATCH(N$1,'Conversion Range'!$A$2:$A$35,0))=1,INDEX('Conversion Range'!$D$2:$D$35,MATCH(N$1,'Conversion Range'!$A$2:$A$35,0))-(('Legend Attributes'!N23-1)/19)*(INDEX('Conversion Range'!$D$2:$D$35,MATCH(N$1,'Conversion Range'!$A$2:$A$35,0))-INDEX('Conversion Range'!$C$2:$C$35,MATCH(N$1,'Conversion Range'!$A$2:$A$35,0))),INDEX('Conversion Range'!$C$2:$C$35,MATCH(N$1,'Conversion Range'!$A$2:$A$35,0))+(('Legend Attributes'!N23-1)/19)*(INDEX('Conversion Range'!$D$2:$D$35,MATCH(N$1,'Conversion Range'!$A$2:$A$35,0))-INDEX('Conversion Range'!$C$2:$C$35,MATCH(N$1,'Conversion Range'!$A$2:$A$35,0)))),3))</f>
        <v>2.7890000000000001</v>
      </c>
      <c r="O23" s="15">
        <f>IF('Legend Attributes'!O23=0,0,ROUND(IF(INDEX('Conversion Range'!$E$2:$E$35,MATCH(O$1,'Conversion Range'!$A$2:$A$35,0))=1,INDEX('Conversion Range'!$D$2:$D$35,MATCH(O$1,'Conversion Range'!$A$2:$A$35,0))-(('Legend Attributes'!O23-1)/19)*(INDEX('Conversion Range'!$D$2:$D$35,MATCH(O$1,'Conversion Range'!$A$2:$A$35,0))-INDEX('Conversion Range'!$C$2:$C$35,MATCH(O$1,'Conversion Range'!$A$2:$A$35,0))),INDEX('Conversion Range'!$C$2:$C$35,MATCH(O$1,'Conversion Range'!$A$2:$A$35,0))+(('Legend Attributes'!O23-1)/19)*(INDEX('Conversion Range'!$D$2:$D$35,MATCH(O$1,'Conversion Range'!$A$2:$A$35,0))-INDEX('Conversion Range'!$C$2:$C$35,MATCH(O$1,'Conversion Range'!$A$2:$A$35,0)))),3))</f>
        <v>0.1</v>
      </c>
      <c r="P23" s="15">
        <f>IF('Legend Attributes'!P23=0,0,ROUND(IF(INDEX('Conversion Range'!$E$2:$E$35,MATCH(P$1,'Conversion Range'!$A$2:$A$35,0))=1,INDEX('Conversion Range'!$D$2:$D$35,MATCH(P$1,'Conversion Range'!$A$2:$A$35,0))-(('Legend Attributes'!P23-1)/19)*(INDEX('Conversion Range'!$D$2:$D$35,MATCH(P$1,'Conversion Range'!$A$2:$A$35,0))-INDEX('Conversion Range'!$C$2:$C$35,MATCH(P$1,'Conversion Range'!$A$2:$A$35,0))),INDEX('Conversion Range'!$C$2:$C$35,MATCH(P$1,'Conversion Range'!$A$2:$A$35,0))+(('Legend Attributes'!P23-1)/19)*(INDEX('Conversion Range'!$D$2:$D$35,MATCH(P$1,'Conversion Range'!$A$2:$A$35,0))-INDEX('Conversion Range'!$C$2:$C$35,MATCH(P$1,'Conversion Range'!$A$2:$A$35,0)))),3))</f>
        <v>50.262999999999998</v>
      </c>
      <c r="Q23" s="15">
        <f>IF('Legend Attributes'!Q23=0,0,ROUND(IF(INDEX('Conversion Range'!$E$2:$E$35,MATCH(Q$1,'Conversion Range'!$A$2:$A$35,0))=1,INDEX('Conversion Range'!$D$2:$D$35,MATCH(Q$1,'Conversion Range'!$A$2:$A$35,0))-(('Legend Attributes'!Q23-1)/19)*(INDEX('Conversion Range'!$D$2:$D$35,MATCH(Q$1,'Conversion Range'!$A$2:$A$35,0))-INDEX('Conversion Range'!$C$2:$C$35,MATCH(Q$1,'Conversion Range'!$A$2:$A$35,0))),INDEX('Conversion Range'!$C$2:$C$35,MATCH(Q$1,'Conversion Range'!$A$2:$A$35,0))+(('Legend Attributes'!Q23-1)/19)*(INDEX('Conversion Range'!$D$2:$D$35,MATCH(Q$1,'Conversion Range'!$A$2:$A$35,0))-INDEX('Conversion Range'!$C$2:$C$35,MATCH(Q$1,'Conversion Range'!$A$2:$A$35,0)))),3))</f>
        <v>43.683999999999997</v>
      </c>
      <c r="R23" s="15">
        <f>IF('Legend Attributes'!R23=0,0,ROUND(IF(INDEX('Conversion Range'!$E$2:$E$35,MATCH(R$1,'Conversion Range'!$A$2:$A$35,0))=1,INDEX('Conversion Range'!$D$2:$D$35,MATCH(R$1,'Conversion Range'!$A$2:$A$35,0))-(('Legend Attributes'!R23-1)/19)*(INDEX('Conversion Range'!$D$2:$D$35,MATCH(R$1,'Conversion Range'!$A$2:$A$35,0))-INDEX('Conversion Range'!$C$2:$C$35,MATCH(R$1,'Conversion Range'!$A$2:$A$35,0))),INDEX('Conversion Range'!$C$2:$C$35,MATCH(R$1,'Conversion Range'!$A$2:$A$35,0))+(('Legend Attributes'!R23-1)/19)*(INDEX('Conversion Range'!$D$2:$D$35,MATCH(R$1,'Conversion Range'!$A$2:$A$35,0))-INDEX('Conversion Range'!$C$2:$C$35,MATCH(R$1,'Conversion Range'!$A$2:$A$35,0)))),3))</f>
        <v>80.263000000000005</v>
      </c>
      <c r="S23" s="15">
        <f>IF('Legend Attributes'!S23=0,0,ROUND(IF(INDEX('Conversion Range'!$E$2:$E$35,MATCH(S$1,'Conversion Range'!$A$2:$A$35,0))=1,INDEX('Conversion Range'!$D$2:$D$35,MATCH(S$1,'Conversion Range'!$A$2:$A$35,0))-(('Legend Attributes'!S23-1)/19)*(INDEX('Conversion Range'!$D$2:$D$35,MATCH(S$1,'Conversion Range'!$A$2:$A$35,0))-INDEX('Conversion Range'!$C$2:$C$35,MATCH(S$1,'Conversion Range'!$A$2:$A$35,0))),INDEX('Conversion Range'!$C$2:$C$35,MATCH(S$1,'Conversion Range'!$A$2:$A$35,0))+(('Legend Attributes'!S23-1)/19)*(INDEX('Conversion Range'!$D$2:$D$35,MATCH(S$1,'Conversion Range'!$A$2:$A$35,0))-INDEX('Conversion Range'!$C$2:$C$35,MATCH(S$1,'Conversion Range'!$A$2:$A$35,0)))),3))</f>
        <v>2.0259999999999998</v>
      </c>
      <c r="T23" s="15">
        <f>IF('Legend Attributes'!T23=0,0,ROUND(IF(INDEX('Conversion Range'!$E$2:$E$35,MATCH(T$1,'Conversion Range'!$A$2:$A$35,0))=1,INDEX('Conversion Range'!$D$2:$D$35,MATCH(T$1,'Conversion Range'!$A$2:$A$35,0))-(('Legend Attributes'!T23-1)/19)*(INDEX('Conversion Range'!$D$2:$D$35,MATCH(T$1,'Conversion Range'!$A$2:$A$35,0))-INDEX('Conversion Range'!$C$2:$C$35,MATCH(T$1,'Conversion Range'!$A$2:$A$35,0))),INDEX('Conversion Range'!$C$2:$C$35,MATCH(T$1,'Conversion Range'!$A$2:$A$35,0))+(('Legend Attributes'!T23-1)/19)*(INDEX('Conversion Range'!$D$2:$D$35,MATCH(T$1,'Conversion Range'!$A$2:$A$35,0))-INDEX('Conversion Range'!$C$2:$C$35,MATCH(T$1,'Conversion Range'!$A$2:$A$35,0)))),3))</f>
        <v>52.158000000000001</v>
      </c>
      <c r="U23" s="15">
        <f>IF('Legend Attributes'!U23=0,0,ROUND(IF(INDEX('Conversion Range'!$E$2:$E$35,MATCH(U$1,'Conversion Range'!$A$2:$A$35,0))=1,INDEX('Conversion Range'!$D$2:$D$35,MATCH(U$1,'Conversion Range'!$A$2:$A$35,0))-(('Legend Attributes'!U23-1)/19)*(INDEX('Conversion Range'!$D$2:$D$35,MATCH(U$1,'Conversion Range'!$A$2:$A$35,0))-INDEX('Conversion Range'!$C$2:$C$35,MATCH(U$1,'Conversion Range'!$A$2:$A$35,0))),INDEX('Conversion Range'!$C$2:$C$35,MATCH(U$1,'Conversion Range'!$A$2:$A$35,0))+(('Legend Attributes'!U23-1)/19)*(INDEX('Conversion Range'!$D$2:$D$35,MATCH(U$1,'Conversion Range'!$A$2:$A$35,0))-INDEX('Conversion Range'!$C$2:$C$35,MATCH(U$1,'Conversion Range'!$A$2:$A$35,0)))),3))</f>
        <v>2.7629999999999999</v>
      </c>
      <c r="V23" s="15">
        <f>IF('Legend Attributes'!V23=0,0,ROUND(IF(INDEX('Conversion Range'!$E$2:$E$35,MATCH(V$1,'Conversion Range'!$A$2:$A$35,0))=1,INDEX('Conversion Range'!$D$2:$D$35,MATCH(V$1,'Conversion Range'!$A$2:$A$35,0))-(('Legend Attributes'!V23-1)/19)*(INDEX('Conversion Range'!$D$2:$D$35,MATCH(V$1,'Conversion Range'!$A$2:$A$35,0))-INDEX('Conversion Range'!$C$2:$C$35,MATCH(V$1,'Conversion Range'!$A$2:$A$35,0))),INDEX('Conversion Range'!$C$2:$C$35,MATCH(V$1,'Conversion Range'!$A$2:$A$35,0))+(('Legend Attributes'!V23-1)/19)*(INDEX('Conversion Range'!$D$2:$D$35,MATCH(V$1,'Conversion Range'!$A$2:$A$35,0))-INDEX('Conversion Range'!$C$2:$C$35,MATCH(V$1,'Conversion Range'!$A$2:$A$35,0)))),3))</f>
        <v>63.158000000000001</v>
      </c>
      <c r="W23" s="15">
        <f>IF('Legend Attributes'!W23=0,0,ROUND(IF(INDEX('Conversion Range'!$E$2:$E$35,MATCH(W$1,'Conversion Range'!$A$2:$A$35,0))=1,INDEX('Conversion Range'!$D$2:$D$35,MATCH(W$1,'Conversion Range'!$A$2:$A$35,0))-(('Legend Attributes'!W23-1)/19)*(INDEX('Conversion Range'!$D$2:$D$35,MATCH(W$1,'Conversion Range'!$A$2:$A$35,0))-INDEX('Conversion Range'!$C$2:$C$35,MATCH(W$1,'Conversion Range'!$A$2:$A$35,0))),INDEX('Conversion Range'!$C$2:$C$35,MATCH(W$1,'Conversion Range'!$A$2:$A$35,0))+(('Legend Attributes'!W23-1)/19)*(INDEX('Conversion Range'!$D$2:$D$35,MATCH(W$1,'Conversion Range'!$A$2:$A$35,0))-INDEX('Conversion Range'!$C$2:$C$35,MATCH(W$1,'Conversion Range'!$A$2:$A$35,0)))),3))</f>
        <v>0</v>
      </c>
      <c r="X23" s="15">
        <f>IF('Legend Attributes'!X23=0,0,ROUND(IF(INDEX('Conversion Range'!$E$2:$E$35,MATCH(X$1,'Conversion Range'!$A$2:$A$35,0))=1,INDEX('Conversion Range'!$D$2:$D$35,MATCH(X$1,'Conversion Range'!$A$2:$A$35,0))-(('Legend Attributes'!X23-1)/19)*(INDEX('Conversion Range'!$D$2:$D$35,MATCH(X$1,'Conversion Range'!$A$2:$A$35,0))-INDEX('Conversion Range'!$C$2:$C$35,MATCH(X$1,'Conversion Range'!$A$2:$A$35,0))),INDEX('Conversion Range'!$C$2:$C$35,MATCH(X$1,'Conversion Range'!$A$2:$A$35,0))+(('Legend Attributes'!X23-1)/19)*(INDEX('Conversion Range'!$D$2:$D$35,MATCH(X$1,'Conversion Range'!$A$2:$A$35,0))-INDEX('Conversion Range'!$C$2:$C$35,MATCH(X$1,'Conversion Range'!$A$2:$A$35,0)))),3))</f>
        <v>0</v>
      </c>
      <c r="Y23" s="15">
        <f>IF('Legend Attributes'!Y23=0,0,ROUND(IF(INDEX('Conversion Range'!$E$2:$E$35,MATCH(Y$1,'Conversion Range'!$A$2:$A$35,0))=1,INDEX('Conversion Range'!$D$2:$D$35,MATCH(Y$1,'Conversion Range'!$A$2:$A$35,0))-(('Legend Attributes'!Y23-1)/19)*(INDEX('Conversion Range'!$D$2:$D$35,MATCH(Y$1,'Conversion Range'!$A$2:$A$35,0))-INDEX('Conversion Range'!$C$2:$C$35,MATCH(Y$1,'Conversion Range'!$A$2:$A$35,0))),INDEX('Conversion Range'!$C$2:$C$35,MATCH(Y$1,'Conversion Range'!$A$2:$A$35,0))+(('Legend Attributes'!Y23-1)/19)*(INDEX('Conversion Range'!$D$2:$D$35,MATCH(Y$1,'Conversion Range'!$A$2:$A$35,0))-INDEX('Conversion Range'!$C$2:$C$35,MATCH(Y$1,'Conversion Range'!$A$2:$A$35,0)))),3))</f>
        <v>0.52100000000000002</v>
      </c>
      <c r="Z23" s="15">
        <f>IF('Legend Attributes'!Z23=0,0,ROUND(IF(INDEX('Conversion Range'!$E$2:$E$35,MATCH(Z$1,'Conversion Range'!$A$2:$A$35,0))=1,INDEX('Conversion Range'!$D$2:$D$35,MATCH(Z$1,'Conversion Range'!$A$2:$A$35,0))-(('Legend Attributes'!Z23-1)/19)*(INDEX('Conversion Range'!$D$2:$D$35,MATCH(Z$1,'Conversion Range'!$A$2:$A$35,0))-INDEX('Conversion Range'!$C$2:$C$35,MATCH(Z$1,'Conversion Range'!$A$2:$A$35,0))),INDEX('Conversion Range'!$C$2:$C$35,MATCH(Z$1,'Conversion Range'!$A$2:$A$35,0))+(('Legend Attributes'!Z23-1)/19)*(INDEX('Conversion Range'!$D$2:$D$35,MATCH(Z$1,'Conversion Range'!$A$2:$A$35,0))-INDEX('Conversion Range'!$C$2:$C$35,MATCH(Z$1,'Conversion Range'!$A$2:$A$35,0)))),3))</f>
        <v>11.395</v>
      </c>
      <c r="AA23" s="15">
        <f>IF('Legend Attributes'!AA23=0,0,ROUND(IF(INDEX('Conversion Range'!$E$2:$E$35,MATCH(AA$1,'Conversion Range'!$A$2:$A$35,0))=1,INDEX('Conversion Range'!$D$2:$D$35,MATCH(AA$1,'Conversion Range'!$A$2:$A$35,0))-(('Legend Attributes'!AA23-1)/19)*(INDEX('Conversion Range'!$D$2:$D$35,MATCH(AA$1,'Conversion Range'!$A$2:$A$35,0))-INDEX('Conversion Range'!$C$2:$C$35,MATCH(AA$1,'Conversion Range'!$A$2:$A$35,0))),INDEX('Conversion Range'!$C$2:$C$35,MATCH(AA$1,'Conversion Range'!$A$2:$A$35,0))+(('Legend Attributes'!AA23-1)/19)*(INDEX('Conversion Range'!$D$2:$D$35,MATCH(AA$1,'Conversion Range'!$A$2:$A$35,0))-INDEX('Conversion Range'!$C$2:$C$35,MATCH(AA$1,'Conversion Range'!$A$2:$A$35,0)))),3))</f>
        <v>0</v>
      </c>
      <c r="AB23" s="15">
        <f>IF('Legend Attributes'!AB23=0,0,ROUND(IF(INDEX('Conversion Range'!$E$2:$E$35,MATCH(AB$1,'Conversion Range'!$A$2:$A$35,0))=1,INDEX('Conversion Range'!$D$2:$D$35,MATCH(AB$1,'Conversion Range'!$A$2:$A$35,0))-(('Legend Attributes'!AB23-1)/19)*(INDEX('Conversion Range'!$D$2:$D$35,MATCH(AB$1,'Conversion Range'!$A$2:$A$35,0))-INDEX('Conversion Range'!$C$2:$C$35,MATCH(AB$1,'Conversion Range'!$A$2:$A$35,0))),INDEX('Conversion Range'!$C$2:$C$35,MATCH(AB$1,'Conversion Range'!$A$2:$A$35,0))+(('Legend Attributes'!AB23-1)/19)*(INDEX('Conversion Range'!$D$2:$D$35,MATCH(AB$1,'Conversion Range'!$A$2:$A$35,0))-INDEX('Conversion Range'!$C$2:$C$35,MATCH(AB$1,'Conversion Range'!$A$2:$A$35,0)))),3))</f>
        <v>0.05</v>
      </c>
      <c r="AC23" s="15">
        <f>IF('Legend Attributes'!AC23=0,0,ROUND(IF(INDEX('Conversion Range'!$E$2:$E$35,MATCH(AC$1,'Conversion Range'!$A$2:$A$35,0))=1,INDEX('Conversion Range'!$D$2:$D$35,MATCH(AC$1,'Conversion Range'!$A$2:$A$35,0))-(('Legend Attributes'!AC23-1)/19)*(INDEX('Conversion Range'!$D$2:$D$35,MATCH(AC$1,'Conversion Range'!$A$2:$A$35,0))-INDEX('Conversion Range'!$C$2:$C$35,MATCH(AC$1,'Conversion Range'!$A$2:$A$35,0))),INDEX('Conversion Range'!$C$2:$C$35,MATCH(AC$1,'Conversion Range'!$A$2:$A$35,0))+(('Legend Attributes'!AC23-1)/19)*(INDEX('Conversion Range'!$D$2:$D$35,MATCH(AC$1,'Conversion Range'!$A$2:$A$35,0))-INDEX('Conversion Range'!$C$2:$C$35,MATCH(AC$1,'Conversion Range'!$A$2:$A$35,0)))),3))</f>
        <v>0.03</v>
      </c>
      <c r="AD23" s="15">
        <f>IF('Legend Attributes'!AD23=0,0,ROUND(IF(INDEX('Conversion Range'!$E$2:$E$35,MATCH(AD$1,'Conversion Range'!$A$2:$A$35,0))=1,INDEX('Conversion Range'!$D$2:$D$35,MATCH(AD$1,'Conversion Range'!$A$2:$A$35,0))-(('Legend Attributes'!AD23-1)/19)*(INDEX('Conversion Range'!$D$2:$D$35,MATCH(AD$1,'Conversion Range'!$A$2:$A$35,0))-INDEX('Conversion Range'!$C$2:$C$35,MATCH(AD$1,'Conversion Range'!$A$2:$A$35,0))),INDEX('Conversion Range'!$C$2:$C$35,MATCH(AD$1,'Conversion Range'!$A$2:$A$35,0))+(('Legend Attributes'!AD23-1)/19)*(INDEX('Conversion Range'!$D$2:$D$35,MATCH(AD$1,'Conversion Range'!$A$2:$A$35,0))-INDEX('Conversion Range'!$C$2:$C$35,MATCH(AD$1,'Conversion Range'!$A$2:$A$35,0)))),3))</f>
        <v>3.7629999999999999</v>
      </c>
      <c r="AE23" s="15">
        <f>IF('Legend Attributes'!AE23=0,0,ROUND(IF(INDEX('Conversion Range'!$E$2:$E$35,MATCH(AE$1,'Conversion Range'!$A$2:$A$35,0))=1,INDEX('Conversion Range'!$D$2:$D$35,MATCH(AE$1,'Conversion Range'!$A$2:$A$35,0))-(('Legend Attributes'!AE23-1)/19)*(INDEX('Conversion Range'!$D$2:$D$35,MATCH(AE$1,'Conversion Range'!$A$2:$A$35,0))-INDEX('Conversion Range'!$C$2:$C$35,MATCH(AE$1,'Conversion Range'!$A$2:$A$35,0))),INDEX('Conversion Range'!$C$2:$C$35,MATCH(AE$1,'Conversion Range'!$A$2:$A$35,0))+(('Legend Attributes'!AE23-1)/19)*(INDEX('Conversion Range'!$D$2:$D$35,MATCH(AE$1,'Conversion Range'!$A$2:$A$35,0))-INDEX('Conversion Range'!$C$2:$C$35,MATCH(AE$1,'Conversion Range'!$A$2:$A$35,0)))),3))</f>
        <v>0.59499999999999997</v>
      </c>
      <c r="AF23" s="15">
        <f>IF('Legend Attributes'!AF23=0,0,ROUND(IF(INDEX('Conversion Range'!$E$2:$E$35,MATCH(AF$1,'Conversion Range'!$A$2:$A$35,0))=1,INDEX('Conversion Range'!$D$2:$D$35,MATCH(AF$1,'Conversion Range'!$A$2:$A$35,0))-(('Legend Attributes'!AF23-1)/19)*(INDEX('Conversion Range'!$D$2:$D$35,MATCH(AF$1,'Conversion Range'!$A$2:$A$35,0))-INDEX('Conversion Range'!$C$2:$C$35,MATCH(AF$1,'Conversion Range'!$A$2:$A$35,0))),INDEX('Conversion Range'!$C$2:$C$35,MATCH(AF$1,'Conversion Range'!$A$2:$A$35,0))+(('Legend Attributes'!AF23-1)/19)*(INDEX('Conversion Range'!$D$2:$D$35,MATCH(AF$1,'Conversion Range'!$A$2:$A$35,0))-INDEX('Conversion Range'!$C$2:$C$35,MATCH(AF$1,'Conversion Range'!$A$2:$A$35,0)))),3))</f>
        <v>52.368000000000002</v>
      </c>
      <c r="AG23" s="15">
        <f>IF('Legend Attributes'!AG23=0,0,ROUND(IF(INDEX('Conversion Range'!$E$2:$E$35,MATCH(AG$1,'Conversion Range'!$A$2:$A$35,0))=1,INDEX('Conversion Range'!$D$2:$D$35,MATCH(AG$1,'Conversion Range'!$A$2:$A$35,0))-(('Legend Attributes'!AG23-1)/19)*(INDEX('Conversion Range'!$D$2:$D$35,MATCH(AG$1,'Conversion Range'!$A$2:$A$35,0))-INDEX('Conversion Range'!$C$2:$C$35,MATCH(AG$1,'Conversion Range'!$A$2:$A$35,0))),INDEX('Conversion Range'!$C$2:$C$35,MATCH(AG$1,'Conversion Range'!$A$2:$A$35,0))+(('Legend Attributes'!AG23-1)/19)*(INDEX('Conversion Range'!$D$2:$D$35,MATCH(AG$1,'Conversion Range'!$A$2:$A$35,0))-INDEX('Conversion Range'!$C$2:$C$35,MATCH(AG$1,'Conversion Range'!$A$2:$A$35,0)))),3))</f>
        <v>0.65800000000000003</v>
      </c>
      <c r="AH23" s="15">
        <f>IF('Legend Attributes'!AH23=0,0,ROUND(IF(INDEX('Conversion Range'!$E$2:$E$35,MATCH(AH$1,'Conversion Range'!$A$2:$A$35,0))=1,INDEX('Conversion Range'!$D$2:$D$35,MATCH(AH$1,'Conversion Range'!$A$2:$A$35,0))-(('Legend Attributes'!AH23-1)/19)*(INDEX('Conversion Range'!$D$2:$D$35,MATCH(AH$1,'Conversion Range'!$A$2:$A$35,0))-INDEX('Conversion Range'!$C$2:$C$35,MATCH(AH$1,'Conversion Range'!$A$2:$A$35,0))),INDEX('Conversion Range'!$C$2:$C$35,MATCH(AH$1,'Conversion Range'!$A$2:$A$35,0))+(('Legend Attributes'!AH23-1)/19)*(INDEX('Conversion Range'!$D$2:$D$35,MATCH(AH$1,'Conversion Range'!$A$2:$A$35,0))-INDEX('Conversion Range'!$C$2:$C$35,MATCH(AH$1,'Conversion Range'!$A$2:$A$35,0)))),3))</f>
        <v>8.7999999999999995E-2</v>
      </c>
      <c r="AI23" s="15">
        <f>IF('Legend Attributes'!AI23=0,0,ROUND(IF(INDEX('Conversion Range'!$E$2:$E$35,MATCH(AI$1,'Conversion Range'!$A$2:$A$35,0))=1,INDEX('Conversion Range'!$D$2:$D$35,MATCH(AI$1,'Conversion Range'!$A$2:$A$35,0))-(('Legend Attributes'!AI23-1)/19)*(INDEX('Conversion Range'!$D$2:$D$35,MATCH(AI$1,'Conversion Range'!$A$2:$A$35,0))-INDEX('Conversion Range'!$C$2:$C$35,MATCH(AI$1,'Conversion Range'!$A$2:$A$35,0))),INDEX('Conversion Range'!$C$2:$C$35,MATCH(AI$1,'Conversion Range'!$A$2:$A$35,0))+(('Legend Attributes'!AI23-1)/19)*(INDEX('Conversion Range'!$D$2:$D$35,MATCH(AI$1,'Conversion Range'!$A$2:$A$35,0))-INDEX('Conversion Range'!$C$2:$C$35,MATCH(AI$1,'Conversion Range'!$A$2:$A$35,0)))),3))</f>
        <v>1.2999999999999999E-2</v>
      </c>
      <c r="AJ23" s="15">
        <f>IF('Legend Attributes'!AJ23=0,0,ROUND(IF(INDEX('Conversion Range'!$E$2:$E$35,MATCH(AJ$1,'Conversion Range'!$A$2:$A$35,0))=1,INDEX('Conversion Range'!$D$2:$D$35,MATCH(AJ$1,'Conversion Range'!$A$2:$A$35,0))-(('Legend Attributes'!AJ23-1)/19)*(INDEX('Conversion Range'!$D$2:$D$35,MATCH(AJ$1,'Conversion Range'!$A$2:$A$35,0))-INDEX('Conversion Range'!$C$2:$C$35,MATCH(AJ$1,'Conversion Range'!$A$2:$A$35,0))),INDEX('Conversion Range'!$C$2:$C$35,MATCH(AJ$1,'Conversion Range'!$A$2:$A$35,0))+(('Legend Attributes'!AJ23-1)/19)*(INDEX('Conversion Range'!$D$2:$D$35,MATCH(AJ$1,'Conversion Range'!$A$2:$A$35,0))-INDEX('Conversion Range'!$C$2:$C$35,MATCH(AJ$1,'Conversion Range'!$A$2:$A$35,0)))),3))</f>
        <v>8.0109999999999992</v>
      </c>
    </row>
    <row r="24" spans="1:36" x14ac:dyDescent="0.35">
      <c r="A24" s="14" t="str">
        <f>'Legend Attributes'!A24</f>
        <v>Didier Drogba</v>
      </c>
      <c r="B24" s="15" t="str">
        <f>'Legend Attributes'!B24</f>
        <v>ST</v>
      </c>
      <c r="C24" s="15">
        <f>IF('Legend Attributes'!C24=0,0,ROUND(IF(INDEX('Conversion Range'!$E$2:$E$35,MATCH(C$1,'Conversion Range'!$A$2:$A$35,0))=1,INDEX('Conversion Range'!$D$2:$D$35,MATCH(C$1,'Conversion Range'!$A$2:$A$35,0))-(('Legend Attributes'!C24-1)/19)*(INDEX('Conversion Range'!$D$2:$D$35,MATCH(C$1,'Conversion Range'!$A$2:$A$35,0))-INDEX('Conversion Range'!$C$2:$C$35,MATCH(C$1,'Conversion Range'!$A$2:$A$35,0))),INDEX('Conversion Range'!$C$2:$C$35,MATCH(C$1,'Conversion Range'!$A$2:$A$35,0))+(('Legend Attributes'!C24-1)/19)*(INDEX('Conversion Range'!$D$2:$D$35,MATCH(C$1,'Conversion Range'!$A$2:$A$35,0))-INDEX('Conversion Range'!$C$2:$C$35,MATCH(C$1,'Conversion Range'!$A$2:$A$35,0)))),3))</f>
        <v>0.63200000000000001</v>
      </c>
      <c r="D24" s="15">
        <f>IF('Legend Attributes'!D24=0,0,ROUND(IF(INDEX('Conversion Range'!$E$2:$E$35,MATCH(D$1,'Conversion Range'!$A$2:$A$35,0))=1,INDEX('Conversion Range'!$D$2:$D$35,MATCH(D$1,'Conversion Range'!$A$2:$A$35,0))-(('Legend Attributes'!D24-1)/19)*(INDEX('Conversion Range'!$D$2:$D$35,MATCH(D$1,'Conversion Range'!$A$2:$A$35,0))-INDEX('Conversion Range'!$C$2:$C$35,MATCH(D$1,'Conversion Range'!$A$2:$A$35,0))),INDEX('Conversion Range'!$C$2:$C$35,MATCH(D$1,'Conversion Range'!$A$2:$A$35,0))+(('Legend Attributes'!D24-1)/19)*(INDEX('Conversion Range'!$D$2:$D$35,MATCH(D$1,'Conversion Range'!$A$2:$A$35,0))-INDEX('Conversion Range'!$C$2:$C$35,MATCH(D$1,'Conversion Range'!$A$2:$A$35,0)))),3))</f>
        <v>0.51900000000000002</v>
      </c>
      <c r="E24" s="15">
        <f>IF('Legend Attributes'!E24=0,0,ROUND(IF(INDEX('Conversion Range'!$E$2:$E$35,MATCH(E$1,'Conversion Range'!$A$2:$A$35,0))=1,INDEX('Conversion Range'!$D$2:$D$35,MATCH(E$1,'Conversion Range'!$A$2:$A$35,0))-(('Legend Attributes'!E24-1)/19)*(INDEX('Conversion Range'!$D$2:$D$35,MATCH(E$1,'Conversion Range'!$A$2:$A$35,0))-INDEX('Conversion Range'!$C$2:$C$35,MATCH(E$1,'Conversion Range'!$A$2:$A$35,0))),INDEX('Conversion Range'!$C$2:$C$35,MATCH(E$1,'Conversion Range'!$A$2:$A$35,0))+(('Legend Attributes'!E24-1)/19)*(INDEX('Conversion Range'!$D$2:$D$35,MATCH(E$1,'Conversion Range'!$A$2:$A$35,0))-INDEX('Conversion Range'!$C$2:$C$35,MATCH(E$1,'Conversion Range'!$A$2:$A$35,0)))),3))</f>
        <v>0.26600000000000001</v>
      </c>
      <c r="F24" s="15">
        <f>IF('Legend Attributes'!F24=0,0,ROUND(IF(INDEX('Conversion Range'!$E$2:$E$35,MATCH(F$1,'Conversion Range'!$A$2:$A$35,0))=1,INDEX('Conversion Range'!$D$2:$D$35,MATCH(F$1,'Conversion Range'!$A$2:$A$35,0))-(('Legend Attributes'!F24-1)/19)*(INDEX('Conversion Range'!$D$2:$D$35,MATCH(F$1,'Conversion Range'!$A$2:$A$35,0))-INDEX('Conversion Range'!$C$2:$C$35,MATCH(F$1,'Conversion Range'!$A$2:$A$35,0))),INDEX('Conversion Range'!$C$2:$C$35,MATCH(F$1,'Conversion Range'!$A$2:$A$35,0))+(('Legend Attributes'!F24-1)/19)*(INDEX('Conversion Range'!$D$2:$D$35,MATCH(F$1,'Conversion Range'!$A$2:$A$35,0))-INDEX('Conversion Range'!$C$2:$C$35,MATCH(F$1,'Conversion Range'!$A$2:$A$35,0)))),3))</f>
        <v>2.5819999999999999</v>
      </c>
      <c r="G24" s="15">
        <f>IF('Legend Attributes'!G24=0,0,ROUND(IF(INDEX('Conversion Range'!$E$2:$E$35,MATCH(G$1,'Conversion Range'!$A$2:$A$35,0))=1,INDEX('Conversion Range'!$D$2:$D$35,MATCH(G$1,'Conversion Range'!$A$2:$A$35,0))-(('Legend Attributes'!G24-1)/19)*(INDEX('Conversion Range'!$D$2:$D$35,MATCH(G$1,'Conversion Range'!$A$2:$A$35,0))-INDEX('Conversion Range'!$C$2:$C$35,MATCH(G$1,'Conversion Range'!$A$2:$A$35,0))),INDEX('Conversion Range'!$C$2:$C$35,MATCH(G$1,'Conversion Range'!$A$2:$A$35,0))+(('Legend Attributes'!G24-1)/19)*(INDEX('Conversion Range'!$D$2:$D$35,MATCH(G$1,'Conversion Range'!$A$2:$A$35,0))-INDEX('Conversion Range'!$C$2:$C$35,MATCH(G$1,'Conversion Range'!$A$2:$A$35,0)))),3))</f>
        <v>1.716</v>
      </c>
      <c r="H24" s="15">
        <f>IF('Legend Attributes'!H24=0,0,ROUND(IF(INDEX('Conversion Range'!$E$2:$E$35,MATCH(H$1,'Conversion Range'!$A$2:$A$35,0))=1,INDEX('Conversion Range'!$D$2:$D$35,MATCH(H$1,'Conversion Range'!$A$2:$A$35,0))-(('Legend Attributes'!H24-1)/19)*(INDEX('Conversion Range'!$D$2:$D$35,MATCH(H$1,'Conversion Range'!$A$2:$A$35,0))-INDEX('Conversion Range'!$C$2:$C$35,MATCH(H$1,'Conversion Range'!$A$2:$A$35,0))),INDEX('Conversion Range'!$C$2:$C$35,MATCH(H$1,'Conversion Range'!$A$2:$A$35,0))+(('Legend Attributes'!H24-1)/19)*(INDEX('Conversion Range'!$D$2:$D$35,MATCH(H$1,'Conversion Range'!$A$2:$A$35,0))-INDEX('Conversion Range'!$C$2:$C$35,MATCH(H$1,'Conversion Range'!$A$2:$A$35,0)))),3))</f>
        <v>0.73699999999999999</v>
      </c>
      <c r="I24" s="15">
        <f>IF('Legend Attributes'!I24=0,0,ROUND(IF(INDEX('Conversion Range'!$E$2:$E$35,MATCH(I$1,'Conversion Range'!$A$2:$A$35,0))=1,INDEX('Conversion Range'!$D$2:$D$35,MATCH(I$1,'Conversion Range'!$A$2:$A$35,0))-(('Legend Attributes'!I24-1)/19)*(INDEX('Conversion Range'!$D$2:$D$35,MATCH(I$1,'Conversion Range'!$A$2:$A$35,0))-INDEX('Conversion Range'!$C$2:$C$35,MATCH(I$1,'Conversion Range'!$A$2:$A$35,0))),INDEX('Conversion Range'!$C$2:$C$35,MATCH(I$1,'Conversion Range'!$A$2:$A$35,0))+(('Legend Attributes'!I24-1)/19)*(INDEX('Conversion Range'!$D$2:$D$35,MATCH(I$1,'Conversion Range'!$A$2:$A$35,0))-INDEX('Conversion Range'!$C$2:$C$35,MATCH(I$1,'Conversion Range'!$A$2:$A$35,0)))),3))</f>
        <v>1.284</v>
      </c>
      <c r="J24" s="15">
        <f>IF('Legend Attributes'!J24=0,0,ROUND(IF(INDEX('Conversion Range'!$E$2:$E$35,MATCH(J$1,'Conversion Range'!$A$2:$A$35,0))=1,INDEX('Conversion Range'!$D$2:$D$35,MATCH(J$1,'Conversion Range'!$A$2:$A$35,0))-(('Legend Attributes'!J24-1)/19)*(INDEX('Conversion Range'!$D$2:$D$35,MATCH(J$1,'Conversion Range'!$A$2:$A$35,0))-INDEX('Conversion Range'!$C$2:$C$35,MATCH(J$1,'Conversion Range'!$A$2:$A$35,0))),INDEX('Conversion Range'!$C$2:$C$35,MATCH(J$1,'Conversion Range'!$A$2:$A$35,0))+(('Legend Attributes'!J24-1)/19)*(INDEX('Conversion Range'!$D$2:$D$35,MATCH(J$1,'Conversion Range'!$A$2:$A$35,0))-INDEX('Conversion Range'!$C$2:$C$35,MATCH(J$1,'Conversion Range'!$A$2:$A$35,0)))),3))</f>
        <v>1.016</v>
      </c>
      <c r="K24" s="15">
        <f>IF('Legend Attributes'!K24=0,0,ROUND(IF(INDEX('Conversion Range'!$E$2:$E$35,MATCH(K$1,'Conversion Range'!$A$2:$A$35,0))=1,INDEX('Conversion Range'!$D$2:$D$35,MATCH(K$1,'Conversion Range'!$A$2:$A$35,0))-(('Legend Attributes'!K24-1)/19)*(INDEX('Conversion Range'!$D$2:$D$35,MATCH(K$1,'Conversion Range'!$A$2:$A$35,0))-INDEX('Conversion Range'!$C$2:$C$35,MATCH(K$1,'Conversion Range'!$A$2:$A$35,0))),INDEX('Conversion Range'!$C$2:$C$35,MATCH(K$1,'Conversion Range'!$A$2:$A$35,0))+(('Legend Attributes'!K24-1)/19)*(INDEX('Conversion Range'!$D$2:$D$35,MATCH(K$1,'Conversion Range'!$A$2:$A$35,0))-INDEX('Conversion Range'!$C$2:$C$35,MATCH(K$1,'Conversion Range'!$A$2:$A$35,0)))),3))</f>
        <v>0.56299999999999994</v>
      </c>
      <c r="L24" s="15">
        <f>IF('Legend Attributes'!L24=0,0,ROUND(IF(INDEX('Conversion Range'!$E$2:$E$35,MATCH(L$1,'Conversion Range'!$A$2:$A$35,0))=1,INDEX('Conversion Range'!$D$2:$D$35,MATCH(L$1,'Conversion Range'!$A$2:$A$35,0))-(('Legend Attributes'!L24-1)/19)*(INDEX('Conversion Range'!$D$2:$D$35,MATCH(L$1,'Conversion Range'!$A$2:$A$35,0))-INDEX('Conversion Range'!$C$2:$C$35,MATCH(L$1,'Conversion Range'!$A$2:$A$35,0))),INDEX('Conversion Range'!$C$2:$C$35,MATCH(L$1,'Conversion Range'!$A$2:$A$35,0))+(('Legend Attributes'!L24-1)/19)*(INDEX('Conversion Range'!$D$2:$D$35,MATCH(L$1,'Conversion Range'!$A$2:$A$35,0))-INDEX('Conversion Range'!$C$2:$C$35,MATCH(L$1,'Conversion Range'!$A$2:$A$35,0)))),3))</f>
        <v>0.65300000000000002</v>
      </c>
      <c r="M24" s="15">
        <f>IF('Legend Attributes'!M24=0,0,ROUND(IF(INDEX('Conversion Range'!$E$2:$E$35,MATCH(M$1,'Conversion Range'!$A$2:$A$35,0))=1,INDEX('Conversion Range'!$D$2:$D$35,MATCH(M$1,'Conversion Range'!$A$2:$A$35,0))-(('Legend Attributes'!M24-1)/19)*(INDEX('Conversion Range'!$D$2:$D$35,MATCH(M$1,'Conversion Range'!$A$2:$A$35,0))-INDEX('Conversion Range'!$C$2:$C$35,MATCH(M$1,'Conversion Range'!$A$2:$A$35,0))),INDEX('Conversion Range'!$C$2:$C$35,MATCH(M$1,'Conversion Range'!$A$2:$A$35,0))+(('Legend Attributes'!M24-1)/19)*(INDEX('Conversion Range'!$D$2:$D$35,MATCH(M$1,'Conversion Range'!$A$2:$A$35,0))-INDEX('Conversion Range'!$C$2:$C$35,MATCH(M$1,'Conversion Range'!$A$2:$A$35,0)))),3))</f>
        <v>0.253</v>
      </c>
      <c r="N24" s="15">
        <f>IF('Legend Attributes'!N24=0,0,ROUND(IF(INDEX('Conversion Range'!$E$2:$E$35,MATCH(N$1,'Conversion Range'!$A$2:$A$35,0))=1,INDEX('Conversion Range'!$D$2:$D$35,MATCH(N$1,'Conversion Range'!$A$2:$A$35,0))-(('Legend Attributes'!N24-1)/19)*(INDEX('Conversion Range'!$D$2:$D$35,MATCH(N$1,'Conversion Range'!$A$2:$A$35,0))-INDEX('Conversion Range'!$C$2:$C$35,MATCH(N$1,'Conversion Range'!$A$2:$A$35,0))),INDEX('Conversion Range'!$C$2:$C$35,MATCH(N$1,'Conversion Range'!$A$2:$A$35,0))+(('Legend Attributes'!N24-1)/19)*(INDEX('Conversion Range'!$D$2:$D$35,MATCH(N$1,'Conversion Range'!$A$2:$A$35,0))-INDEX('Conversion Range'!$C$2:$C$35,MATCH(N$1,'Conversion Range'!$A$2:$A$35,0)))),3))</f>
        <v>4.7629999999999999</v>
      </c>
      <c r="O24" s="15">
        <f>IF('Legend Attributes'!O24=0,0,ROUND(IF(INDEX('Conversion Range'!$E$2:$E$35,MATCH(O$1,'Conversion Range'!$A$2:$A$35,0))=1,INDEX('Conversion Range'!$D$2:$D$35,MATCH(O$1,'Conversion Range'!$A$2:$A$35,0))-(('Legend Attributes'!O24-1)/19)*(INDEX('Conversion Range'!$D$2:$D$35,MATCH(O$1,'Conversion Range'!$A$2:$A$35,0))-INDEX('Conversion Range'!$C$2:$C$35,MATCH(O$1,'Conversion Range'!$A$2:$A$35,0))),INDEX('Conversion Range'!$C$2:$C$35,MATCH(O$1,'Conversion Range'!$A$2:$A$35,0))+(('Legend Attributes'!O24-1)/19)*(INDEX('Conversion Range'!$D$2:$D$35,MATCH(O$1,'Conversion Range'!$A$2:$A$35,0))-INDEX('Conversion Range'!$C$2:$C$35,MATCH(O$1,'Conversion Range'!$A$2:$A$35,0)))),3))</f>
        <v>1.405</v>
      </c>
      <c r="P24" s="15">
        <f>IF('Legend Attributes'!P24=0,0,ROUND(IF(INDEX('Conversion Range'!$E$2:$E$35,MATCH(P$1,'Conversion Range'!$A$2:$A$35,0))=1,INDEX('Conversion Range'!$D$2:$D$35,MATCH(P$1,'Conversion Range'!$A$2:$A$35,0))-(('Legend Attributes'!P24-1)/19)*(INDEX('Conversion Range'!$D$2:$D$35,MATCH(P$1,'Conversion Range'!$A$2:$A$35,0))-INDEX('Conversion Range'!$C$2:$C$35,MATCH(P$1,'Conversion Range'!$A$2:$A$35,0))),INDEX('Conversion Range'!$C$2:$C$35,MATCH(P$1,'Conversion Range'!$A$2:$A$35,0))+(('Legend Attributes'!P24-1)/19)*(INDEX('Conversion Range'!$D$2:$D$35,MATCH(P$1,'Conversion Range'!$A$2:$A$35,0))-INDEX('Conversion Range'!$C$2:$C$35,MATCH(P$1,'Conversion Range'!$A$2:$A$35,0)))),3))</f>
        <v>58.947000000000003</v>
      </c>
      <c r="Q24" s="15">
        <f>IF('Legend Attributes'!Q24=0,0,ROUND(IF(INDEX('Conversion Range'!$E$2:$E$35,MATCH(Q$1,'Conversion Range'!$A$2:$A$35,0))=1,INDEX('Conversion Range'!$D$2:$D$35,MATCH(Q$1,'Conversion Range'!$A$2:$A$35,0))-(('Legend Attributes'!Q24-1)/19)*(INDEX('Conversion Range'!$D$2:$D$35,MATCH(Q$1,'Conversion Range'!$A$2:$A$35,0))-INDEX('Conversion Range'!$C$2:$C$35,MATCH(Q$1,'Conversion Range'!$A$2:$A$35,0))),INDEX('Conversion Range'!$C$2:$C$35,MATCH(Q$1,'Conversion Range'!$A$2:$A$35,0))+(('Legend Attributes'!Q24-1)/19)*(INDEX('Conversion Range'!$D$2:$D$35,MATCH(Q$1,'Conversion Range'!$A$2:$A$35,0))-INDEX('Conversion Range'!$C$2:$C$35,MATCH(Q$1,'Conversion Range'!$A$2:$A$35,0)))),3))</f>
        <v>64.525999999999996</v>
      </c>
      <c r="R24" s="15">
        <f>IF('Legend Attributes'!R24=0,0,ROUND(IF(INDEX('Conversion Range'!$E$2:$E$35,MATCH(R$1,'Conversion Range'!$A$2:$A$35,0))=1,INDEX('Conversion Range'!$D$2:$D$35,MATCH(R$1,'Conversion Range'!$A$2:$A$35,0))-(('Legend Attributes'!R24-1)/19)*(INDEX('Conversion Range'!$D$2:$D$35,MATCH(R$1,'Conversion Range'!$A$2:$A$35,0))-INDEX('Conversion Range'!$C$2:$C$35,MATCH(R$1,'Conversion Range'!$A$2:$A$35,0))),INDEX('Conversion Range'!$C$2:$C$35,MATCH(R$1,'Conversion Range'!$A$2:$A$35,0))+(('Legend Attributes'!R24-1)/19)*(INDEX('Conversion Range'!$D$2:$D$35,MATCH(R$1,'Conversion Range'!$A$2:$A$35,0))-INDEX('Conversion Range'!$C$2:$C$35,MATCH(R$1,'Conversion Range'!$A$2:$A$35,0)))),3))</f>
        <v>80.263000000000005</v>
      </c>
      <c r="S24" s="15">
        <f>IF('Legend Attributes'!S24=0,0,ROUND(IF(INDEX('Conversion Range'!$E$2:$E$35,MATCH(S$1,'Conversion Range'!$A$2:$A$35,0))=1,INDEX('Conversion Range'!$D$2:$D$35,MATCH(S$1,'Conversion Range'!$A$2:$A$35,0))-(('Legend Attributes'!S24-1)/19)*(INDEX('Conversion Range'!$D$2:$D$35,MATCH(S$1,'Conversion Range'!$A$2:$A$35,0))-INDEX('Conversion Range'!$C$2:$C$35,MATCH(S$1,'Conversion Range'!$A$2:$A$35,0))),INDEX('Conversion Range'!$C$2:$C$35,MATCH(S$1,'Conversion Range'!$A$2:$A$35,0))+(('Legend Attributes'!S24-1)/19)*(INDEX('Conversion Range'!$D$2:$D$35,MATCH(S$1,'Conversion Range'!$A$2:$A$35,0))-INDEX('Conversion Range'!$C$2:$C$35,MATCH(S$1,'Conversion Range'!$A$2:$A$35,0)))),3))</f>
        <v>1.595</v>
      </c>
      <c r="T24" s="15">
        <f>IF('Legend Attributes'!T24=0,0,ROUND(IF(INDEX('Conversion Range'!$E$2:$E$35,MATCH(T$1,'Conversion Range'!$A$2:$A$35,0))=1,INDEX('Conversion Range'!$D$2:$D$35,MATCH(T$1,'Conversion Range'!$A$2:$A$35,0))-(('Legend Attributes'!T24-1)/19)*(INDEX('Conversion Range'!$D$2:$D$35,MATCH(T$1,'Conversion Range'!$A$2:$A$35,0))-INDEX('Conversion Range'!$C$2:$C$35,MATCH(T$1,'Conversion Range'!$A$2:$A$35,0))),INDEX('Conversion Range'!$C$2:$C$35,MATCH(T$1,'Conversion Range'!$A$2:$A$35,0))+(('Legend Attributes'!T24-1)/19)*(INDEX('Conversion Range'!$D$2:$D$35,MATCH(T$1,'Conversion Range'!$A$2:$A$35,0))-INDEX('Conversion Range'!$C$2:$C$35,MATCH(T$1,'Conversion Range'!$A$2:$A$35,0)))),3))</f>
        <v>43.104999999999997</v>
      </c>
      <c r="U24" s="15">
        <f>IF('Legend Attributes'!U24=0,0,ROUND(IF(INDEX('Conversion Range'!$E$2:$E$35,MATCH(U$1,'Conversion Range'!$A$2:$A$35,0))=1,INDEX('Conversion Range'!$D$2:$D$35,MATCH(U$1,'Conversion Range'!$A$2:$A$35,0))-(('Legend Attributes'!U24-1)/19)*(INDEX('Conversion Range'!$D$2:$D$35,MATCH(U$1,'Conversion Range'!$A$2:$A$35,0))-INDEX('Conversion Range'!$C$2:$C$35,MATCH(U$1,'Conversion Range'!$A$2:$A$35,0))),INDEX('Conversion Range'!$C$2:$C$35,MATCH(U$1,'Conversion Range'!$A$2:$A$35,0))+(('Legend Attributes'!U24-1)/19)*(INDEX('Conversion Range'!$D$2:$D$35,MATCH(U$1,'Conversion Range'!$A$2:$A$35,0))-INDEX('Conversion Range'!$C$2:$C$35,MATCH(U$1,'Conversion Range'!$A$2:$A$35,0)))),3))</f>
        <v>5.226</v>
      </c>
      <c r="V24" s="15">
        <f>IF('Legend Attributes'!V24=0,0,ROUND(IF(INDEX('Conversion Range'!$E$2:$E$35,MATCH(V$1,'Conversion Range'!$A$2:$A$35,0))=1,INDEX('Conversion Range'!$D$2:$D$35,MATCH(V$1,'Conversion Range'!$A$2:$A$35,0))-(('Legend Attributes'!V24-1)/19)*(INDEX('Conversion Range'!$D$2:$D$35,MATCH(V$1,'Conversion Range'!$A$2:$A$35,0))-INDEX('Conversion Range'!$C$2:$C$35,MATCH(V$1,'Conversion Range'!$A$2:$A$35,0))),INDEX('Conversion Range'!$C$2:$C$35,MATCH(V$1,'Conversion Range'!$A$2:$A$35,0))+(('Legend Attributes'!V24-1)/19)*(INDEX('Conversion Range'!$D$2:$D$35,MATCH(V$1,'Conversion Range'!$A$2:$A$35,0))-INDEX('Conversion Range'!$C$2:$C$35,MATCH(V$1,'Conversion Range'!$A$2:$A$35,0)))),3))</f>
        <v>70.263000000000005</v>
      </c>
      <c r="W24" s="15">
        <f>IF('Legend Attributes'!W24=0,0,ROUND(IF(INDEX('Conversion Range'!$E$2:$E$35,MATCH(W$1,'Conversion Range'!$A$2:$A$35,0))=1,INDEX('Conversion Range'!$D$2:$D$35,MATCH(W$1,'Conversion Range'!$A$2:$A$35,0))-(('Legend Attributes'!W24-1)/19)*(INDEX('Conversion Range'!$D$2:$D$35,MATCH(W$1,'Conversion Range'!$A$2:$A$35,0))-INDEX('Conversion Range'!$C$2:$C$35,MATCH(W$1,'Conversion Range'!$A$2:$A$35,0))),INDEX('Conversion Range'!$C$2:$C$35,MATCH(W$1,'Conversion Range'!$A$2:$A$35,0))+(('Legend Attributes'!W24-1)/19)*(INDEX('Conversion Range'!$D$2:$D$35,MATCH(W$1,'Conversion Range'!$A$2:$A$35,0))-INDEX('Conversion Range'!$C$2:$C$35,MATCH(W$1,'Conversion Range'!$A$2:$A$35,0)))),3))</f>
        <v>0.23699999999999999</v>
      </c>
      <c r="X24" s="15">
        <f>IF('Legend Attributes'!X24=0,0,ROUND(IF(INDEX('Conversion Range'!$E$2:$E$35,MATCH(X$1,'Conversion Range'!$A$2:$A$35,0))=1,INDEX('Conversion Range'!$D$2:$D$35,MATCH(X$1,'Conversion Range'!$A$2:$A$35,0))-(('Legend Attributes'!X24-1)/19)*(INDEX('Conversion Range'!$D$2:$D$35,MATCH(X$1,'Conversion Range'!$A$2:$A$35,0))-INDEX('Conversion Range'!$C$2:$C$35,MATCH(X$1,'Conversion Range'!$A$2:$A$35,0))),INDEX('Conversion Range'!$C$2:$C$35,MATCH(X$1,'Conversion Range'!$A$2:$A$35,0))+(('Legend Attributes'!X24-1)/19)*(INDEX('Conversion Range'!$D$2:$D$35,MATCH(X$1,'Conversion Range'!$A$2:$A$35,0))-INDEX('Conversion Range'!$C$2:$C$35,MATCH(X$1,'Conversion Range'!$A$2:$A$35,0)))),3))</f>
        <v>0.46300000000000002</v>
      </c>
      <c r="Y24" s="15">
        <f>IF('Legend Attributes'!Y24=0,0,ROUND(IF(INDEX('Conversion Range'!$E$2:$E$35,MATCH(Y$1,'Conversion Range'!$A$2:$A$35,0))=1,INDEX('Conversion Range'!$D$2:$D$35,MATCH(Y$1,'Conversion Range'!$A$2:$A$35,0))-(('Legend Attributes'!Y24-1)/19)*(INDEX('Conversion Range'!$D$2:$D$35,MATCH(Y$1,'Conversion Range'!$A$2:$A$35,0))-INDEX('Conversion Range'!$C$2:$C$35,MATCH(Y$1,'Conversion Range'!$A$2:$A$35,0))),INDEX('Conversion Range'!$C$2:$C$35,MATCH(Y$1,'Conversion Range'!$A$2:$A$35,0))+(('Legend Attributes'!Y24-1)/19)*(INDEX('Conversion Range'!$D$2:$D$35,MATCH(Y$1,'Conversion Range'!$A$2:$A$35,0))-INDEX('Conversion Range'!$C$2:$C$35,MATCH(Y$1,'Conversion Range'!$A$2:$A$35,0)))),3))</f>
        <v>0.42599999999999999</v>
      </c>
      <c r="Z24" s="15">
        <f>IF('Legend Attributes'!Z24=0,0,ROUND(IF(INDEX('Conversion Range'!$E$2:$E$35,MATCH(Z$1,'Conversion Range'!$A$2:$A$35,0))=1,INDEX('Conversion Range'!$D$2:$D$35,MATCH(Z$1,'Conversion Range'!$A$2:$A$35,0))-(('Legend Attributes'!Z24-1)/19)*(INDEX('Conversion Range'!$D$2:$D$35,MATCH(Z$1,'Conversion Range'!$A$2:$A$35,0))-INDEX('Conversion Range'!$C$2:$C$35,MATCH(Z$1,'Conversion Range'!$A$2:$A$35,0))),INDEX('Conversion Range'!$C$2:$C$35,MATCH(Z$1,'Conversion Range'!$A$2:$A$35,0))+(('Legend Attributes'!Z24-1)/19)*(INDEX('Conversion Range'!$D$2:$D$35,MATCH(Z$1,'Conversion Range'!$A$2:$A$35,0))-INDEX('Conversion Range'!$C$2:$C$35,MATCH(Z$1,'Conversion Range'!$A$2:$A$35,0)))),3))</f>
        <v>10.079000000000001</v>
      </c>
      <c r="AA24" s="15">
        <f>IF('Legend Attributes'!AA24=0,0,ROUND(IF(INDEX('Conversion Range'!$E$2:$E$35,MATCH(AA$1,'Conversion Range'!$A$2:$A$35,0))=1,INDEX('Conversion Range'!$D$2:$D$35,MATCH(AA$1,'Conversion Range'!$A$2:$A$35,0))-(('Legend Attributes'!AA24-1)/19)*(INDEX('Conversion Range'!$D$2:$D$35,MATCH(AA$1,'Conversion Range'!$A$2:$A$35,0))-INDEX('Conversion Range'!$C$2:$C$35,MATCH(AA$1,'Conversion Range'!$A$2:$A$35,0))),INDEX('Conversion Range'!$C$2:$C$35,MATCH(AA$1,'Conversion Range'!$A$2:$A$35,0))+(('Legend Attributes'!AA24-1)/19)*(INDEX('Conversion Range'!$D$2:$D$35,MATCH(AA$1,'Conversion Range'!$A$2:$A$35,0))-INDEX('Conversion Range'!$C$2:$C$35,MATCH(AA$1,'Conversion Range'!$A$2:$A$35,0)))),3))</f>
        <v>0.23899999999999999</v>
      </c>
      <c r="AB24" s="15">
        <f>IF('Legend Attributes'!AB24=0,0,ROUND(IF(INDEX('Conversion Range'!$E$2:$E$35,MATCH(AB$1,'Conversion Range'!$A$2:$A$35,0))=1,INDEX('Conversion Range'!$D$2:$D$35,MATCH(AB$1,'Conversion Range'!$A$2:$A$35,0))-(('Legend Attributes'!AB24-1)/19)*(INDEX('Conversion Range'!$D$2:$D$35,MATCH(AB$1,'Conversion Range'!$A$2:$A$35,0))-INDEX('Conversion Range'!$C$2:$C$35,MATCH(AB$1,'Conversion Range'!$A$2:$A$35,0))),INDEX('Conversion Range'!$C$2:$C$35,MATCH(AB$1,'Conversion Range'!$A$2:$A$35,0))+(('Legend Attributes'!AB24-1)/19)*(INDEX('Conversion Range'!$D$2:$D$35,MATCH(AB$1,'Conversion Range'!$A$2:$A$35,0))-INDEX('Conversion Range'!$C$2:$C$35,MATCH(AB$1,'Conversion Range'!$A$2:$A$35,0)))),3))</f>
        <v>0.71299999999999997</v>
      </c>
      <c r="AC24" s="15">
        <f>IF('Legend Attributes'!AC24=0,0,ROUND(IF(INDEX('Conversion Range'!$E$2:$E$35,MATCH(AC$1,'Conversion Range'!$A$2:$A$35,0))=1,INDEX('Conversion Range'!$D$2:$D$35,MATCH(AC$1,'Conversion Range'!$A$2:$A$35,0))-(('Legend Attributes'!AC24-1)/19)*(INDEX('Conversion Range'!$D$2:$D$35,MATCH(AC$1,'Conversion Range'!$A$2:$A$35,0))-INDEX('Conversion Range'!$C$2:$C$35,MATCH(AC$1,'Conversion Range'!$A$2:$A$35,0))),INDEX('Conversion Range'!$C$2:$C$35,MATCH(AC$1,'Conversion Range'!$A$2:$A$35,0))+(('Legend Attributes'!AC24-1)/19)*(INDEX('Conversion Range'!$D$2:$D$35,MATCH(AC$1,'Conversion Range'!$A$2:$A$35,0))-INDEX('Conversion Range'!$C$2:$C$35,MATCH(AC$1,'Conversion Range'!$A$2:$A$35,0)))),3))</f>
        <v>0.38600000000000001</v>
      </c>
      <c r="AD24" s="15">
        <f>IF('Legend Attributes'!AD24=0,0,ROUND(IF(INDEX('Conversion Range'!$E$2:$E$35,MATCH(AD$1,'Conversion Range'!$A$2:$A$35,0))=1,INDEX('Conversion Range'!$D$2:$D$35,MATCH(AD$1,'Conversion Range'!$A$2:$A$35,0))-(('Legend Attributes'!AD24-1)/19)*(INDEX('Conversion Range'!$D$2:$D$35,MATCH(AD$1,'Conversion Range'!$A$2:$A$35,0))-INDEX('Conversion Range'!$C$2:$C$35,MATCH(AD$1,'Conversion Range'!$A$2:$A$35,0))),INDEX('Conversion Range'!$C$2:$C$35,MATCH(AD$1,'Conversion Range'!$A$2:$A$35,0))+(('Legend Attributes'!AD24-1)/19)*(INDEX('Conversion Range'!$D$2:$D$35,MATCH(AD$1,'Conversion Range'!$A$2:$A$35,0))-INDEX('Conversion Range'!$C$2:$C$35,MATCH(AD$1,'Conversion Range'!$A$2:$A$35,0)))),3))</f>
        <v>0</v>
      </c>
      <c r="AE24" s="15">
        <f>IF('Legend Attributes'!AE24=0,0,ROUND(IF(INDEX('Conversion Range'!$E$2:$E$35,MATCH(AE$1,'Conversion Range'!$A$2:$A$35,0))=1,INDEX('Conversion Range'!$D$2:$D$35,MATCH(AE$1,'Conversion Range'!$A$2:$A$35,0))-(('Legend Attributes'!AE24-1)/19)*(INDEX('Conversion Range'!$D$2:$D$35,MATCH(AE$1,'Conversion Range'!$A$2:$A$35,0))-INDEX('Conversion Range'!$C$2:$C$35,MATCH(AE$1,'Conversion Range'!$A$2:$A$35,0))),INDEX('Conversion Range'!$C$2:$C$35,MATCH(AE$1,'Conversion Range'!$A$2:$A$35,0))+(('Legend Attributes'!AE24-1)/19)*(INDEX('Conversion Range'!$D$2:$D$35,MATCH(AE$1,'Conversion Range'!$A$2:$A$35,0))-INDEX('Conversion Range'!$C$2:$C$35,MATCH(AE$1,'Conversion Range'!$A$2:$A$35,0)))),3))</f>
        <v>0</v>
      </c>
      <c r="AF24" s="15">
        <f>IF('Legend Attributes'!AF24=0,0,ROUND(IF(INDEX('Conversion Range'!$E$2:$E$35,MATCH(AF$1,'Conversion Range'!$A$2:$A$35,0))=1,INDEX('Conversion Range'!$D$2:$D$35,MATCH(AF$1,'Conversion Range'!$A$2:$A$35,0))-(('Legend Attributes'!AF24-1)/19)*(INDEX('Conversion Range'!$D$2:$D$35,MATCH(AF$1,'Conversion Range'!$A$2:$A$35,0))-INDEX('Conversion Range'!$C$2:$C$35,MATCH(AF$1,'Conversion Range'!$A$2:$A$35,0))),INDEX('Conversion Range'!$C$2:$C$35,MATCH(AF$1,'Conversion Range'!$A$2:$A$35,0))+(('Legend Attributes'!AF24-1)/19)*(INDEX('Conversion Range'!$D$2:$D$35,MATCH(AF$1,'Conversion Range'!$A$2:$A$35,0))-INDEX('Conversion Range'!$C$2:$C$35,MATCH(AF$1,'Conversion Range'!$A$2:$A$35,0)))),3))</f>
        <v>0</v>
      </c>
      <c r="AG24" s="15">
        <f>IF('Legend Attributes'!AG24=0,0,ROUND(IF(INDEX('Conversion Range'!$E$2:$E$35,MATCH(AG$1,'Conversion Range'!$A$2:$A$35,0))=1,INDEX('Conversion Range'!$D$2:$D$35,MATCH(AG$1,'Conversion Range'!$A$2:$A$35,0))-(('Legend Attributes'!AG24-1)/19)*(INDEX('Conversion Range'!$D$2:$D$35,MATCH(AG$1,'Conversion Range'!$A$2:$A$35,0))-INDEX('Conversion Range'!$C$2:$C$35,MATCH(AG$1,'Conversion Range'!$A$2:$A$35,0))),INDEX('Conversion Range'!$C$2:$C$35,MATCH(AG$1,'Conversion Range'!$A$2:$A$35,0))+(('Legend Attributes'!AG24-1)/19)*(INDEX('Conversion Range'!$D$2:$D$35,MATCH(AG$1,'Conversion Range'!$A$2:$A$35,0))-INDEX('Conversion Range'!$C$2:$C$35,MATCH(AG$1,'Conversion Range'!$A$2:$A$35,0)))),3))</f>
        <v>1.0529999999999999</v>
      </c>
      <c r="AH24" s="15">
        <f>IF('Legend Attributes'!AH24=0,0,ROUND(IF(INDEX('Conversion Range'!$E$2:$E$35,MATCH(AH$1,'Conversion Range'!$A$2:$A$35,0))=1,INDEX('Conversion Range'!$D$2:$D$35,MATCH(AH$1,'Conversion Range'!$A$2:$A$35,0))-(('Legend Attributes'!AH24-1)/19)*(INDEX('Conversion Range'!$D$2:$D$35,MATCH(AH$1,'Conversion Range'!$A$2:$A$35,0))-INDEX('Conversion Range'!$C$2:$C$35,MATCH(AH$1,'Conversion Range'!$A$2:$A$35,0))),INDEX('Conversion Range'!$C$2:$C$35,MATCH(AH$1,'Conversion Range'!$A$2:$A$35,0))+(('Legend Attributes'!AH24-1)/19)*(INDEX('Conversion Range'!$D$2:$D$35,MATCH(AH$1,'Conversion Range'!$A$2:$A$35,0))-INDEX('Conversion Range'!$C$2:$C$35,MATCH(AH$1,'Conversion Range'!$A$2:$A$35,0)))),3))</f>
        <v>0.26900000000000002</v>
      </c>
      <c r="AI24" s="15">
        <f>IF('Legend Attributes'!AI24=0,0,ROUND(IF(INDEX('Conversion Range'!$E$2:$E$35,MATCH(AI$1,'Conversion Range'!$A$2:$A$35,0))=1,INDEX('Conversion Range'!$D$2:$D$35,MATCH(AI$1,'Conversion Range'!$A$2:$A$35,0))-(('Legend Attributes'!AI24-1)/19)*(INDEX('Conversion Range'!$D$2:$D$35,MATCH(AI$1,'Conversion Range'!$A$2:$A$35,0))-INDEX('Conversion Range'!$C$2:$C$35,MATCH(AI$1,'Conversion Range'!$A$2:$A$35,0))),INDEX('Conversion Range'!$C$2:$C$35,MATCH(AI$1,'Conversion Range'!$A$2:$A$35,0))+(('Legend Attributes'!AI24-1)/19)*(INDEX('Conversion Range'!$D$2:$D$35,MATCH(AI$1,'Conversion Range'!$A$2:$A$35,0))-INDEX('Conversion Range'!$C$2:$C$35,MATCH(AI$1,'Conversion Range'!$A$2:$A$35,0)))),3))</f>
        <v>8.7999999999999995E-2</v>
      </c>
      <c r="AJ24" s="15">
        <f>IF('Legend Attributes'!AJ24=0,0,ROUND(IF(INDEX('Conversion Range'!$E$2:$E$35,MATCH(AJ$1,'Conversion Range'!$A$2:$A$35,0))=1,INDEX('Conversion Range'!$D$2:$D$35,MATCH(AJ$1,'Conversion Range'!$A$2:$A$35,0))-(('Legend Attributes'!AJ24-1)/19)*(INDEX('Conversion Range'!$D$2:$D$35,MATCH(AJ$1,'Conversion Range'!$A$2:$A$35,0))-INDEX('Conversion Range'!$C$2:$C$35,MATCH(AJ$1,'Conversion Range'!$A$2:$A$35,0))),INDEX('Conversion Range'!$C$2:$C$35,MATCH(AJ$1,'Conversion Range'!$A$2:$A$35,0))+(('Legend Attributes'!AJ24-1)/19)*(INDEX('Conversion Range'!$D$2:$D$35,MATCH(AJ$1,'Conversion Range'!$A$2:$A$35,0))-INDEX('Conversion Range'!$C$2:$C$35,MATCH(AJ$1,'Conversion Range'!$A$2:$A$35,0)))),3))</f>
        <v>7.9160000000000004</v>
      </c>
    </row>
    <row r="25" spans="1:36" x14ac:dyDescent="0.35">
      <c r="A25" s="14" t="str">
        <f>'Legend Attributes'!A25</f>
        <v>Lionel Messi</v>
      </c>
      <c r="B25" s="15" t="str">
        <f>'Legend Attributes'!B25</f>
        <v>W</v>
      </c>
      <c r="C25" s="15">
        <f>IF('Legend Attributes'!C25=0,0,ROUND(IF(INDEX('Conversion Range'!$E$2:$E$35,MATCH(C$1,'Conversion Range'!$A$2:$A$35,0))=1,INDEX('Conversion Range'!$D$2:$D$35,MATCH(C$1,'Conversion Range'!$A$2:$A$35,0))-(('Legend Attributes'!C25-1)/19)*(INDEX('Conversion Range'!$D$2:$D$35,MATCH(C$1,'Conversion Range'!$A$2:$A$35,0))-INDEX('Conversion Range'!$C$2:$C$35,MATCH(C$1,'Conversion Range'!$A$2:$A$35,0))),INDEX('Conversion Range'!$C$2:$C$35,MATCH(C$1,'Conversion Range'!$A$2:$A$35,0))+(('Legend Attributes'!C25-1)/19)*(INDEX('Conversion Range'!$D$2:$D$35,MATCH(C$1,'Conversion Range'!$A$2:$A$35,0))-INDEX('Conversion Range'!$C$2:$C$35,MATCH(C$1,'Conversion Range'!$A$2:$A$35,0)))),3))</f>
        <v>0.80600000000000005</v>
      </c>
      <c r="D25" s="15">
        <f>IF('Legend Attributes'!D25=0,0,ROUND(IF(INDEX('Conversion Range'!$E$2:$E$35,MATCH(D$1,'Conversion Range'!$A$2:$A$35,0))=1,INDEX('Conversion Range'!$D$2:$D$35,MATCH(D$1,'Conversion Range'!$A$2:$A$35,0))-(('Legend Attributes'!D25-1)/19)*(INDEX('Conversion Range'!$D$2:$D$35,MATCH(D$1,'Conversion Range'!$A$2:$A$35,0))-INDEX('Conversion Range'!$C$2:$C$35,MATCH(D$1,'Conversion Range'!$A$2:$A$35,0))),INDEX('Conversion Range'!$C$2:$C$35,MATCH(D$1,'Conversion Range'!$A$2:$A$35,0))+(('Legend Attributes'!D25-1)/19)*(INDEX('Conversion Range'!$D$2:$D$35,MATCH(D$1,'Conversion Range'!$A$2:$A$35,0))-INDEX('Conversion Range'!$C$2:$C$35,MATCH(D$1,'Conversion Range'!$A$2:$A$35,0)))),3))</f>
        <v>0.71199999999999997</v>
      </c>
      <c r="E25" s="15">
        <f>IF('Legend Attributes'!E25=0,0,ROUND(IF(INDEX('Conversion Range'!$E$2:$E$35,MATCH(E$1,'Conversion Range'!$A$2:$A$35,0))=1,INDEX('Conversion Range'!$D$2:$D$35,MATCH(E$1,'Conversion Range'!$A$2:$A$35,0))-(('Legend Attributes'!E25-1)/19)*(INDEX('Conversion Range'!$D$2:$D$35,MATCH(E$1,'Conversion Range'!$A$2:$A$35,0))-INDEX('Conversion Range'!$C$2:$C$35,MATCH(E$1,'Conversion Range'!$A$2:$A$35,0))),INDEX('Conversion Range'!$C$2:$C$35,MATCH(E$1,'Conversion Range'!$A$2:$A$35,0))+(('Legend Attributes'!E25-1)/19)*(INDEX('Conversion Range'!$D$2:$D$35,MATCH(E$1,'Conversion Range'!$A$2:$A$35,0))-INDEX('Conversion Range'!$C$2:$C$35,MATCH(E$1,'Conversion Range'!$A$2:$A$35,0)))),3))</f>
        <v>0.49299999999999999</v>
      </c>
      <c r="F25" s="15">
        <f>IF('Legend Attributes'!F25=0,0,ROUND(IF(INDEX('Conversion Range'!$E$2:$E$35,MATCH(F$1,'Conversion Range'!$A$2:$A$35,0))=1,INDEX('Conversion Range'!$D$2:$D$35,MATCH(F$1,'Conversion Range'!$A$2:$A$35,0))-(('Legend Attributes'!F25-1)/19)*(INDEX('Conversion Range'!$D$2:$D$35,MATCH(F$1,'Conversion Range'!$A$2:$A$35,0))-INDEX('Conversion Range'!$C$2:$C$35,MATCH(F$1,'Conversion Range'!$A$2:$A$35,0))),INDEX('Conversion Range'!$C$2:$C$35,MATCH(F$1,'Conversion Range'!$A$2:$A$35,0))+(('Legend Attributes'!F25-1)/19)*(INDEX('Conversion Range'!$D$2:$D$35,MATCH(F$1,'Conversion Range'!$A$2:$A$35,0))-INDEX('Conversion Range'!$C$2:$C$35,MATCH(F$1,'Conversion Range'!$A$2:$A$35,0)))),3))</f>
        <v>3.3919999999999999</v>
      </c>
      <c r="G25" s="15">
        <f>IF('Legend Attributes'!G25=0,0,ROUND(IF(INDEX('Conversion Range'!$E$2:$E$35,MATCH(G$1,'Conversion Range'!$A$2:$A$35,0))=1,INDEX('Conversion Range'!$D$2:$D$35,MATCH(G$1,'Conversion Range'!$A$2:$A$35,0))-(('Legend Attributes'!G25-1)/19)*(INDEX('Conversion Range'!$D$2:$D$35,MATCH(G$1,'Conversion Range'!$A$2:$A$35,0))-INDEX('Conversion Range'!$C$2:$C$35,MATCH(G$1,'Conversion Range'!$A$2:$A$35,0))),INDEX('Conversion Range'!$C$2:$C$35,MATCH(G$1,'Conversion Range'!$A$2:$A$35,0))+(('Legend Attributes'!G25-1)/19)*(INDEX('Conversion Range'!$D$2:$D$35,MATCH(G$1,'Conversion Range'!$A$2:$A$35,0))-INDEX('Conversion Range'!$C$2:$C$35,MATCH(G$1,'Conversion Range'!$A$2:$A$35,0)))),3))</f>
        <v>1.833</v>
      </c>
      <c r="H25" s="15">
        <f>IF('Legend Attributes'!H25=0,0,ROUND(IF(INDEX('Conversion Range'!$E$2:$E$35,MATCH(H$1,'Conversion Range'!$A$2:$A$35,0))=1,INDEX('Conversion Range'!$D$2:$D$35,MATCH(H$1,'Conversion Range'!$A$2:$A$35,0))-(('Legend Attributes'!H25-1)/19)*(INDEX('Conversion Range'!$D$2:$D$35,MATCH(H$1,'Conversion Range'!$A$2:$A$35,0))-INDEX('Conversion Range'!$C$2:$C$35,MATCH(H$1,'Conversion Range'!$A$2:$A$35,0))),INDEX('Conversion Range'!$C$2:$C$35,MATCH(H$1,'Conversion Range'!$A$2:$A$35,0))+(('Legend Attributes'!H25-1)/19)*(INDEX('Conversion Range'!$D$2:$D$35,MATCH(H$1,'Conversion Range'!$A$2:$A$35,0))-INDEX('Conversion Range'!$C$2:$C$35,MATCH(H$1,'Conversion Range'!$A$2:$A$35,0)))),3))</f>
        <v>0.94699999999999995</v>
      </c>
      <c r="I25" s="15">
        <f>IF('Legend Attributes'!I25=0,0,ROUND(IF(INDEX('Conversion Range'!$E$2:$E$35,MATCH(I$1,'Conversion Range'!$A$2:$A$35,0))=1,INDEX('Conversion Range'!$D$2:$D$35,MATCH(I$1,'Conversion Range'!$A$2:$A$35,0))-(('Legend Attributes'!I25-1)/19)*(INDEX('Conversion Range'!$D$2:$D$35,MATCH(I$1,'Conversion Range'!$A$2:$A$35,0))-INDEX('Conversion Range'!$C$2:$C$35,MATCH(I$1,'Conversion Range'!$A$2:$A$35,0))),INDEX('Conversion Range'!$C$2:$C$35,MATCH(I$1,'Conversion Range'!$A$2:$A$35,0))+(('Legend Attributes'!I25-1)/19)*(INDEX('Conversion Range'!$D$2:$D$35,MATCH(I$1,'Conversion Range'!$A$2:$A$35,0))-INDEX('Conversion Range'!$C$2:$C$35,MATCH(I$1,'Conversion Range'!$A$2:$A$35,0)))),3))</f>
        <v>2.468</v>
      </c>
      <c r="J25" s="15">
        <f>IF('Legend Attributes'!J25=0,0,ROUND(IF(INDEX('Conversion Range'!$E$2:$E$35,MATCH(J$1,'Conversion Range'!$A$2:$A$35,0))=1,INDEX('Conversion Range'!$D$2:$D$35,MATCH(J$1,'Conversion Range'!$A$2:$A$35,0))-(('Legend Attributes'!J25-1)/19)*(INDEX('Conversion Range'!$D$2:$D$35,MATCH(J$1,'Conversion Range'!$A$2:$A$35,0))-INDEX('Conversion Range'!$C$2:$C$35,MATCH(J$1,'Conversion Range'!$A$2:$A$35,0))),INDEX('Conversion Range'!$C$2:$C$35,MATCH(J$1,'Conversion Range'!$A$2:$A$35,0))+(('Legend Attributes'!J25-1)/19)*(INDEX('Conversion Range'!$D$2:$D$35,MATCH(J$1,'Conversion Range'!$A$2:$A$35,0))-INDEX('Conversion Range'!$C$2:$C$35,MATCH(J$1,'Conversion Range'!$A$2:$A$35,0)))),3))</f>
        <v>0.85299999999999998</v>
      </c>
      <c r="K25" s="15">
        <f>IF('Legend Attributes'!K25=0,0,ROUND(IF(INDEX('Conversion Range'!$E$2:$E$35,MATCH(K$1,'Conversion Range'!$A$2:$A$35,0))=1,INDEX('Conversion Range'!$D$2:$D$35,MATCH(K$1,'Conversion Range'!$A$2:$A$35,0))-(('Legend Attributes'!K25-1)/19)*(INDEX('Conversion Range'!$D$2:$D$35,MATCH(K$1,'Conversion Range'!$A$2:$A$35,0))-INDEX('Conversion Range'!$C$2:$C$35,MATCH(K$1,'Conversion Range'!$A$2:$A$35,0))),INDEX('Conversion Range'!$C$2:$C$35,MATCH(K$1,'Conversion Range'!$A$2:$A$35,0))+(('Legend Attributes'!K25-1)/19)*(INDEX('Conversion Range'!$D$2:$D$35,MATCH(K$1,'Conversion Range'!$A$2:$A$35,0))-INDEX('Conversion Range'!$C$2:$C$35,MATCH(K$1,'Conversion Range'!$A$2:$A$35,0)))),3))</f>
        <v>0.56299999999999994</v>
      </c>
      <c r="L25" s="15">
        <f>IF('Legend Attributes'!L25=0,0,ROUND(IF(INDEX('Conversion Range'!$E$2:$E$35,MATCH(L$1,'Conversion Range'!$A$2:$A$35,0))=1,INDEX('Conversion Range'!$D$2:$D$35,MATCH(L$1,'Conversion Range'!$A$2:$A$35,0))-(('Legend Attributes'!L25-1)/19)*(INDEX('Conversion Range'!$D$2:$D$35,MATCH(L$1,'Conversion Range'!$A$2:$A$35,0))-INDEX('Conversion Range'!$C$2:$C$35,MATCH(L$1,'Conversion Range'!$A$2:$A$35,0))),INDEX('Conversion Range'!$C$2:$C$35,MATCH(L$1,'Conversion Range'!$A$2:$A$35,0))+(('Legend Attributes'!L25-1)/19)*(INDEX('Conversion Range'!$D$2:$D$35,MATCH(L$1,'Conversion Range'!$A$2:$A$35,0))-INDEX('Conversion Range'!$C$2:$C$35,MATCH(L$1,'Conversion Range'!$A$2:$A$35,0)))),3))</f>
        <v>0</v>
      </c>
      <c r="M25" s="15">
        <f>IF('Legend Attributes'!M25=0,0,ROUND(IF(INDEX('Conversion Range'!$E$2:$E$35,MATCH(M$1,'Conversion Range'!$A$2:$A$35,0))=1,INDEX('Conversion Range'!$D$2:$D$35,MATCH(M$1,'Conversion Range'!$A$2:$A$35,0))-(('Legend Attributes'!M25-1)/19)*(INDEX('Conversion Range'!$D$2:$D$35,MATCH(M$1,'Conversion Range'!$A$2:$A$35,0))-INDEX('Conversion Range'!$C$2:$C$35,MATCH(M$1,'Conversion Range'!$A$2:$A$35,0))),INDEX('Conversion Range'!$C$2:$C$35,MATCH(M$1,'Conversion Range'!$A$2:$A$35,0))+(('Legend Attributes'!M25-1)/19)*(INDEX('Conversion Range'!$D$2:$D$35,MATCH(M$1,'Conversion Range'!$A$2:$A$35,0))-INDEX('Conversion Range'!$C$2:$C$35,MATCH(M$1,'Conversion Range'!$A$2:$A$35,0)))),3))</f>
        <v>8.4000000000000005E-2</v>
      </c>
      <c r="N25" s="15">
        <f>IF('Legend Attributes'!N25=0,0,ROUND(IF(INDEX('Conversion Range'!$E$2:$E$35,MATCH(N$1,'Conversion Range'!$A$2:$A$35,0))=1,INDEX('Conversion Range'!$D$2:$D$35,MATCH(N$1,'Conversion Range'!$A$2:$A$35,0))-(('Legend Attributes'!N25-1)/19)*(INDEX('Conversion Range'!$D$2:$D$35,MATCH(N$1,'Conversion Range'!$A$2:$A$35,0))-INDEX('Conversion Range'!$C$2:$C$35,MATCH(N$1,'Conversion Range'!$A$2:$A$35,0))),INDEX('Conversion Range'!$C$2:$C$35,MATCH(N$1,'Conversion Range'!$A$2:$A$35,0))+(('Legend Attributes'!N25-1)/19)*(INDEX('Conversion Range'!$D$2:$D$35,MATCH(N$1,'Conversion Range'!$A$2:$A$35,0))-INDEX('Conversion Range'!$C$2:$C$35,MATCH(N$1,'Conversion Range'!$A$2:$A$35,0)))),3))</f>
        <v>4.3680000000000003</v>
      </c>
      <c r="O25" s="15">
        <f>IF('Legend Attributes'!O25=0,0,ROUND(IF(INDEX('Conversion Range'!$E$2:$E$35,MATCH(O$1,'Conversion Range'!$A$2:$A$35,0))=1,INDEX('Conversion Range'!$D$2:$D$35,MATCH(O$1,'Conversion Range'!$A$2:$A$35,0))-(('Legend Attributes'!O25-1)/19)*(INDEX('Conversion Range'!$D$2:$D$35,MATCH(O$1,'Conversion Range'!$A$2:$A$35,0))-INDEX('Conversion Range'!$C$2:$C$35,MATCH(O$1,'Conversion Range'!$A$2:$A$35,0))),INDEX('Conversion Range'!$C$2:$C$35,MATCH(O$1,'Conversion Range'!$A$2:$A$35,0))+(('Legend Attributes'!O25-1)/19)*(INDEX('Conversion Range'!$D$2:$D$35,MATCH(O$1,'Conversion Range'!$A$2:$A$35,0))-INDEX('Conversion Range'!$C$2:$C$35,MATCH(O$1,'Conversion Range'!$A$2:$A$35,0)))),3))</f>
        <v>3.2</v>
      </c>
      <c r="P25" s="15">
        <f>IF('Legend Attributes'!P25=0,0,ROUND(IF(INDEX('Conversion Range'!$E$2:$E$35,MATCH(P$1,'Conversion Range'!$A$2:$A$35,0))=1,INDEX('Conversion Range'!$D$2:$D$35,MATCH(P$1,'Conversion Range'!$A$2:$A$35,0))-(('Legend Attributes'!P25-1)/19)*(INDEX('Conversion Range'!$D$2:$D$35,MATCH(P$1,'Conversion Range'!$A$2:$A$35,0))-INDEX('Conversion Range'!$C$2:$C$35,MATCH(P$1,'Conversion Range'!$A$2:$A$35,0))),INDEX('Conversion Range'!$C$2:$C$35,MATCH(P$1,'Conversion Range'!$A$2:$A$35,0))+(('Legend Attributes'!P25-1)/19)*(INDEX('Conversion Range'!$D$2:$D$35,MATCH(P$1,'Conversion Range'!$A$2:$A$35,0))-INDEX('Conversion Range'!$C$2:$C$35,MATCH(P$1,'Conversion Range'!$A$2:$A$35,0)))),3))</f>
        <v>82.105000000000004</v>
      </c>
      <c r="Q25" s="15">
        <f>IF('Legend Attributes'!Q25=0,0,ROUND(IF(INDEX('Conversion Range'!$E$2:$E$35,MATCH(Q$1,'Conversion Range'!$A$2:$A$35,0))=1,INDEX('Conversion Range'!$D$2:$D$35,MATCH(Q$1,'Conversion Range'!$A$2:$A$35,0))-(('Legend Attributes'!Q25-1)/19)*(INDEX('Conversion Range'!$D$2:$D$35,MATCH(Q$1,'Conversion Range'!$A$2:$A$35,0))-INDEX('Conversion Range'!$C$2:$C$35,MATCH(Q$1,'Conversion Range'!$A$2:$A$35,0))),INDEX('Conversion Range'!$C$2:$C$35,MATCH(Q$1,'Conversion Range'!$A$2:$A$35,0))+(('Legend Attributes'!Q25-1)/19)*(INDEX('Conversion Range'!$D$2:$D$35,MATCH(Q$1,'Conversion Range'!$A$2:$A$35,0))-INDEX('Conversion Range'!$C$2:$C$35,MATCH(Q$1,'Conversion Range'!$A$2:$A$35,0)))),3))</f>
        <v>55.841999999999999</v>
      </c>
      <c r="R25" s="15">
        <f>IF('Legend Attributes'!R25=0,0,ROUND(IF(INDEX('Conversion Range'!$E$2:$E$35,MATCH(R$1,'Conversion Range'!$A$2:$A$35,0))=1,INDEX('Conversion Range'!$D$2:$D$35,MATCH(R$1,'Conversion Range'!$A$2:$A$35,0))-(('Legend Attributes'!R25-1)/19)*(INDEX('Conversion Range'!$D$2:$D$35,MATCH(R$1,'Conversion Range'!$A$2:$A$35,0))-INDEX('Conversion Range'!$C$2:$C$35,MATCH(R$1,'Conversion Range'!$A$2:$A$35,0))),INDEX('Conversion Range'!$C$2:$C$35,MATCH(R$1,'Conversion Range'!$A$2:$A$35,0))+(('Legend Attributes'!R25-1)/19)*(INDEX('Conversion Range'!$D$2:$D$35,MATCH(R$1,'Conversion Range'!$A$2:$A$35,0))-INDEX('Conversion Range'!$C$2:$C$35,MATCH(R$1,'Conversion Range'!$A$2:$A$35,0)))),3))</f>
        <v>88.683999999999997</v>
      </c>
      <c r="S25" s="15">
        <f>IF('Legend Attributes'!S25=0,0,ROUND(IF(INDEX('Conversion Range'!$E$2:$E$35,MATCH(S$1,'Conversion Range'!$A$2:$A$35,0))=1,INDEX('Conversion Range'!$D$2:$D$35,MATCH(S$1,'Conversion Range'!$A$2:$A$35,0))-(('Legend Attributes'!S25-1)/19)*(INDEX('Conversion Range'!$D$2:$D$35,MATCH(S$1,'Conversion Range'!$A$2:$A$35,0))-INDEX('Conversion Range'!$C$2:$C$35,MATCH(S$1,'Conversion Range'!$A$2:$A$35,0))),INDEX('Conversion Range'!$C$2:$C$35,MATCH(S$1,'Conversion Range'!$A$2:$A$35,0))+(('Legend Attributes'!S25-1)/19)*(INDEX('Conversion Range'!$D$2:$D$35,MATCH(S$1,'Conversion Range'!$A$2:$A$35,0))-INDEX('Conversion Range'!$C$2:$C$35,MATCH(S$1,'Conversion Range'!$A$2:$A$35,0)))),3))</f>
        <v>2.4580000000000002</v>
      </c>
      <c r="T25" s="15">
        <f>IF('Legend Attributes'!T25=0,0,ROUND(IF(INDEX('Conversion Range'!$E$2:$E$35,MATCH(T$1,'Conversion Range'!$A$2:$A$35,0))=1,INDEX('Conversion Range'!$D$2:$D$35,MATCH(T$1,'Conversion Range'!$A$2:$A$35,0))-(('Legend Attributes'!T25-1)/19)*(INDEX('Conversion Range'!$D$2:$D$35,MATCH(T$1,'Conversion Range'!$A$2:$A$35,0))-INDEX('Conversion Range'!$C$2:$C$35,MATCH(T$1,'Conversion Range'!$A$2:$A$35,0))),INDEX('Conversion Range'!$C$2:$C$35,MATCH(T$1,'Conversion Range'!$A$2:$A$35,0))+(('Legend Attributes'!T25-1)/19)*(INDEX('Conversion Range'!$D$2:$D$35,MATCH(T$1,'Conversion Range'!$A$2:$A$35,0))-INDEX('Conversion Range'!$C$2:$C$35,MATCH(T$1,'Conversion Range'!$A$2:$A$35,0)))),3))</f>
        <v>47.631999999999998</v>
      </c>
      <c r="U25" s="15">
        <f>IF('Legend Attributes'!U25=0,0,ROUND(IF(INDEX('Conversion Range'!$E$2:$E$35,MATCH(U$1,'Conversion Range'!$A$2:$A$35,0))=1,INDEX('Conversion Range'!$D$2:$D$35,MATCH(U$1,'Conversion Range'!$A$2:$A$35,0))-(('Legend Attributes'!U25-1)/19)*(INDEX('Conversion Range'!$D$2:$D$35,MATCH(U$1,'Conversion Range'!$A$2:$A$35,0))-INDEX('Conversion Range'!$C$2:$C$35,MATCH(U$1,'Conversion Range'!$A$2:$A$35,0))),INDEX('Conversion Range'!$C$2:$C$35,MATCH(U$1,'Conversion Range'!$A$2:$A$35,0))+(('Legend Attributes'!U25-1)/19)*(INDEX('Conversion Range'!$D$2:$D$35,MATCH(U$1,'Conversion Range'!$A$2:$A$35,0))-INDEX('Conversion Range'!$C$2:$C$35,MATCH(U$1,'Conversion Range'!$A$2:$A$35,0)))),3))</f>
        <v>0.84699999999999998</v>
      </c>
      <c r="V25" s="15">
        <f>IF('Legend Attributes'!V25=0,0,ROUND(IF(INDEX('Conversion Range'!$E$2:$E$35,MATCH(V$1,'Conversion Range'!$A$2:$A$35,0))=1,INDEX('Conversion Range'!$D$2:$D$35,MATCH(V$1,'Conversion Range'!$A$2:$A$35,0))-(('Legend Attributes'!V25-1)/19)*(INDEX('Conversion Range'!$D$2:$D$35,MATCH(V$1,'Conversion Range'!$A$2:$A$35,0))-INDEX('Conversion Range'!$C$2:$C$35,MATCH(V$1,'Conversion Range'!$A$2:$A$35,0))),INDEX('Conversion Range'!$C$2:$C$35,MATCH(V$1,'Conversion Range'!$A$2:$A$35,0))+(('Legend Attributes'!V25-1)/19)*(INDEX('Conversion Range'!$D$2:$D$35,MATCH(V$1,'Conversion Range'!$A$2:$A$35,0))-INDEX('Conversion Range'!$C$2:$C$35,MATCH(V$1,'Conversion Range'!$A$2:$A$35,0)))),3))</f>
        <v>41.841999999999999</v>
      </c>
      <c r="W25" s="15">
        <f>IF('Legend Attributes'!W25=0,0,ROUND(IF(INDEX('Conversion Range'!$E$2:$E$35,MATCH(W$1,'Conversion Range'!$A$2:$A$35,0))=1,INDEX('Conversion Range'!$D$2:$D$35,MATCH(W$1,'Conversion Range'!$A$2:$A$35,0))-(('Legend Attributes'!W25-1)/19)*(INDEX('Conversion Range'!$D$2:$D$35,MATCH(W$1,'Conversion Range'!$A$2:$A$35,0))-INDEX('Conversion Range'!$C$2:$C$35,MATCH(W$1,'Conversion Range'!$A$2:$A$35,0))),INDEX('Conversion Range'!$C$2:$C$35,MATCH(W$1,'Conversion Range'!$A$2:$A$35,0))+(('Legend Attributes'!W25-1)/19)*(INDEX('Conversion Range'!$D$2:$D$35,MATCH(W$1,'Conversion Range'!$A$2:$A$35,0))-INDEX('Conversion Range'!$C$2:$C$35,MATCH(W$1,'Conversion Range'!$A$2:$A$35,0)))),3))</f>
        <v>0.47399999999999998</v>
      </c>
      <c r="X25" s="15">
        <f>IF('Legend Attributes'!X25=0,0,ROUND(IF(INDEX('Conversion Range'!$E$2:$E$35,MATCH(X$1,'Conversion Range'!$A$2:$A$35,0))=1,INDEX('Conversion Range'!$D$2:$D$35,MATCH(X$1,'Conversion Range'!$A$2:$A$35,0))-(('Legend Attributes'!X25-1)/19)*(INDEX('Conversion Range'!$D$2:$D$35,MATCH(X$1,'Conversion Range'!$A$2:$A$35,0))-INDEX('Conversion Range'!$C$2:$C$35,MATCH(X$1,'Conversion Range'!$A$2:$A$35,0))),INDEX('Conversion Range'!$C$2:$C$35,MATCH(X$1,'Conversion Range'!$A$2:$A$35,0))+(('Legend Attributes'!X25-1)/19)*(INDEX('Conversion Range'!$D$2:$D$35,MATCH(X$1,'Conversion Range'!$A$2:$A$35,0))-INDEX('Conversion Range'!$C$2:$C$35,MATCH(X$1,'Conversion Range'!$A$2:$A$35,0)))),3))</f>
        <v>1.042</v>
      </c>
      <c r="Y25" s="15">
        <f>IF('Legend Attributes'!Y25=0,0,ROUND(IF(INDEX('Conversion Range'!$E$2:$E$35,MATCH(Y$1,'Conversion Range'!$A$2:$A$35,0))=1,INDEX('Conversion Range'!$D$2:$D$35,MATCH(Y$1,'Conversion Range'!$A$2:$A$35,0))-(('Legend Attributes'!Y25-1)/19)*(INDEX('Conversion Range'!$D$2:$D$35,MATCH(Y$1,'Conversion Range'!$A$2:$A$35,0))-INDEX('Conversion Range'!$C$2:$C$35,MATCH(Y$1,'Conversion Range'!$A$2:$A$35,0))),INDEX('Conversion Range'!$C$2:$C$35,MATCH(Y$1,'Conversion Range'!$A$2:$A$35,0))+(('Legend Attributes'!Y25-1)/19)*(INDEX('Conversion Range'!$D$2:$D$35,MATCH(Y$1,'Conversion Range'!$A$2:$A$35,0))-INDEX('Conversion Range'!$C$2:$C$35,MATCH(Y$1,'Conversion Range'!$A$2:$A$35,0)))),3))</f>
        <v>0.23699999999999999</v>
      </c>
      <c r="Z25" s="15">
        <f>IF('Legend Attributes'!Z25=0,0,ROUND(IF(INDEX('Conversion Range'!$E$2:$E$35,MATCH(Z$1,'Conversion Range'!$A$2:$A$35,0))=1,INDEX('Conversion Range'!$D$2:$D$35,MATCH(Z$1,'Conversion Range'!$A$2:$A$35,0))-(('Legend Attributes'!Z25-1)/19)*(INDEX('Conversion Range'!$D$2:$D$35,MATCH(Z$1,'Conversion Range'!$A$2:$A$35,0))-INDEX('Conversion Range'!$C$2:$C$35,MATCH(Z$1,'Conversion Range'!$A$2:$A$35,0))),INDEX('Conversion Range'!$C$2:$C$35,MATCH(Z$1,'Conversion Range'!$A$2:$A$35,0))+(('Legend Attributes'!Z25-1)/19)*(INDEX('Conversion Range'!$D$2:$D$35,MATCH(Z$1,'Conversion Range'!$A$2:$A$35,0))-INDEX('Conversion Range'!$C$2:$C$35,MATCH(Z$1,'Conversion Range'!$A$2:$A$35,0)))),3))</f>
        <v>8.1050000000000004</v>
      </c>
      <c r="AA25" s="15">
        <f>IF('Legend Attributes'!AA25=0,0,ROUND(IF(INDEX('Conversion Range'!$E$2:$E$35,MATCH(AA$1,'Conversion Range'!$A$2:$A$35,0))=1,INDEX('Conversion Range'!$D$2:$D$35,MATCH(AA$1,'Conversion Range'!$A$2:$A$35,0))-(('Legend Attributes'!AA25-1)/19)*(INDEX('Conversion Range'!$D$2:$D$35,MATCH(AA$1,'Conversion Range'!$A$2:$A$35,0))-INDEX('Conversion Range'!$C$2:$C$35,MATCH(AA$1,'Conversion Range'!$A$2:$A$35,0))),INDEX('Conversion Range'!$C$2:$C$35,MATCH(AA$1,'Conversion Range'!$A$2:$A$35,0))+(('Legend Attributes'!AA25-1)/19)*(INDEX('Conversion Range'!$D$2:$D$35,MATCH(AA$1,'Conversion Range'!$A$2:$A$35,0))-INDEX('Conversion Range'!$C$2:$C$35,MATCH(AA$1,'Conversion Range'!$A$2:$A$35,0)))),3))</f>
        <v>0.23899999999999999</v>
      </c>
      <c r="AB25" s="15">
        <f>IF('Legend Attributes'!AB25=0,0,ROUND(IF(INDEX('Conversion Range'!$E$2:$E$35,MATCH(AB$1,'Conversion Range'!$A$2:$A$35,0))=1,INDEX('Conversion Range'!$D$2:$D$35,MATCH(AB$1,'Conversion Range'!$A$2:$A$35,0))-(('Legend Attributes'!AB25-1)/19)*(INDEX('Conversion Range'!$D$2:$D$35,MATCH(AB$1,'Conversion Range'!$A$2:$A$35,0))-INDEX('Conversion Range'!$C$2:$C$35,MATCH(AB$1,'Conversion Range'!$A$2:$A$35,0))),INDEX('Conversion Range'!$C$2:$C$35,MATCH(AB$1,'Conversion Range'!$A$2:$A$35,0))+(('Legend Attributes'!AB25-1)/19)*(INDEX('Conversion Range'!$D$2:$D$35,MATCH(AB$1,'Conversion Range'!$A$2:$A$35,0))-INDEX('Conversion Range'!$C$2:$C$35,MATCH(AB$1,'Conversion Range'!$A$2:$A$35,0)))),3))</f>
        <v>0.90300000000000002</v>
      </c>
      <c r="AC25" s="15">
        <f>IF('Legend Attributes'!AC25=0,0,ROUND(IF(INDEX('Conversion Range'!$E$2:$E$35,MATCH(AC$1,'Conversion Range'!$A$2:$A$35,0))=1,INDEX('Conversion Range'!$D$2:$D$35,MATCH(AC$1,'Conversion Range'!$A$2:$A$35,0))-(('Legend Attributes'!AC25-1)/19)*(INDEX('Conversion Range'!$D$2:$D$35,MATCH(AC$1,'Conversion Range'!$A$2:$A$35,0))-INDEX('Conversion Range'!$C$2:$C$35,MATCH(AC$1,'Conversion Range'!$A$2:$A$35,0))),INDEX('Conversion Range'!$C$2:$C$35,MATCH(AC$1,'Conversion Range'!$A$2:$A$35,0))+(('Legend Attributes'!AC25-1)/19)*(INDEX('Conversion Range'!$D$2:$D$35,MATCH(AC$1,'Conversion Range'!$A$2:$A$35,0))-INDEX('Conversion Range'!$C$2:$C$35,MATCH(AC$1,'Conversion Range'!$A$2:$A$35,0)))),3))</f>
        <v>0.441</v>
      </c>
      <c r="AD25" s="15">
        <f>IF('Legend Attributes'!AD25=0,0,ROUND(IF(INDEX('Conversion Range'!$E$2:$E$35,MATCH(AD$1,'Conversion Range'!$A$2:$A$35,0))=1,INDEX('Conversion Range'!$D$2:$D$35,MATCH(AD$1,'Conversion Range'!$A$2:$A$35,0))-(('Legend Attributes'!AD25-1)/19)*(INDEX('Conversion Range'!$D$2:$D$35,MATCH(AD$1,'Conversion Range'!$A$2:$A$35,0))-INDEX('Conversion Range'!$C$2:$C$35,MATCH(AD$1,'Conversion Range'!$A$2:$A$35,0))),INDEX('Conversion Range'!$C$2:$C$35,MATCH(AD$1,'Conversion Range'!$A$2:$A$35,0))+(('Legend Attributes'!AD25-1)/19)*(INDEX('Conversion Range'!$D$2:$D$35,MATCH(AD$1,'Conversion Range'!$A$2:$A$35,0))-INDEX('Conversion Range'!$C$2:$C$35,MATCH(AD$1,'Conversion Range'!$A$2:$A$35,0)))),3))</f>
        <v>0</v>
      </c>
      <c r="AE25" s="15">
        <f>IF('Legend Attributes'!AE25=0,0,ROUND(IF(INDEX('Conversion Range'!$E$2:$E$35,MATCH(AE$1,'Conversion Range'!$A$2:$A$35,0))=1,INDEX('Conversion Range'!$D$2:$D$35,MATCH(AE$1,'Conversion Range'!$A$2:$A$35,0))-(('Legend Attributes'!AE25-1)/19)*(INDEX('Conversion Range'!$D$2:$D$35,MATCH(AE$1,'Conversion Range'!$A$2:$A$35,0))-INDEX('Conversion Range'!$C$2:$C$35,MATCH(AE$1,'Conversion Range'!$A$2:$A$35,0))),INDEX('Conversion Range'!$C$2:$C$35,MATCH(AE$1,'Conversion Range'!$A$2:$A$35,0))+(('Legend Attributes'!AE25-1)/19)*(INDEX('Conversion Range'!$D$2:$D$35,MATCH(AE$1,'Conversion Range'!$A$2:$A$35,0))-INDEX('Conversion Range'!$C$2:$C$35,MATCH(AE$1,'Conversion Range'!$A$2:$A$35,0)))),3))</f>
        <v>0</v>
      </c>
      <c r="AF25" s="15">
        <f>IF('Legend Attributes'!AF25=0,0,ROUND(IF(INDEX('Conversion Range'!$E$2:$E$35,MATCH(AF$1,'Conversion Range'!$A$2:$A$35,0))=1,INDEX('Conversion Range'!$D$2:$D$35,MATCH(AF$1,'Conversion Range'!$A$2:$A$35,0))-(('Legend Attributes'!AF25-1)/19)*(INDEX('Conversion Range'!$D$2:$D$35,MATCH(AF$1,'Conversion Range'!$A$2:$A$35,0))-INDEX('Conversion Range'!$C$2:$C$35,MATCH(AF$1,'Conversion Range'!$A$2:$A$35,0))),INDEX('Conversion Range'!$C$2:$C$35,MATCH(AF$1,'Conversion Range'!$A$2:$A$35,0))+(('Legend Attributes'!AF25-1)/19)*(INDEX('Conversion Range'!$D$2:$D$35,MATCH(AF$1,'Conversion Range'!$A$2:$A$35,0))-INDEX('Conversion Range'!$C$2:$C$35,MATCH(AF$1,'Conversion Range'!$A$2:$A$35,0)))),3))</f>
        <v>0</v>
      </c>
      <c r="AG25" s="15">
        <f>IF('Legend Attributes'!AG25=0,0,ROUND(IF(INDEX('Conversion Range'!$E$2:$E$35,MATCH(AG$1,'Conversion Range'!$A$2:$A$35,0))=1,INDEX('Conversion Range'!$D$2:$D$35,MATCH(AG$1,'Conversion Range'!$A$2:$A$35,0))-(('Legend Attributes'!AG25-1)/19)*(INDEX('Conversion Range'!$D$2:$D$35,MATCH(AG$1,'Conversion Range'!$A$2:$A$35,0))-INDEX('Conversion Range'!$C$2:$C$35,MATCH(AG$1,'Conversion Range'!$A$2:$A$35,0))),INDEX('Conversion Range'!$C$2:$C$35,MATCH(AG$1,'Conversion Range'!$A$2:$A$35,0))+(('Legend Attributes'!AG25-1)/19)*(INDEX('Conversion Range'!$D$2:$D$35,MATCH(AG$1,'Conversion Range'!$A$2:$A$35,0))-INDEX('Conversion Range'!$C$2:$C$35,MATCH(AG$1,'Conversion Range'!$A$2:$A$35,0)))),3))</f>
        <v>0.81599999999999995</v>
      </c>
      <c r="AH25" s="15">
        <f>IF('Legend Attributes'!AH25=0,0,ROUND(IF(INDEX('Conversion Range'!$E$2:$E$35,MATCH(AH$1,'Conversion Range'!$A$2:$A$35,0))=1,INDEX('Conversion Range'!$D$2:$D$35,MATCH(AH$1,'Conversion Range'!$A$2:$A$35,0))-(('Legend Attributes'!AH25-1)/19)*(INDEX('Conversion Range'!$D$2:$D$35,MATCH(AH$1,'Conversion Range'!$A$2:$A$35,0))-INDEX('Conversion Range'!$C$2:$C$35,MATCH(AH$1,'Conversion Range'!$A$2:$A$35,0))),INDEX('Conversion Range'!$C$2:$C$35,MATCH(AH$1,'Conversion Range'!$A$2:$A$35,0))+(('Legend Attributes'!AH25-1)/19)*(INDEX('Conversion Range'!$D$2:$D$35,MATCH(AH$1,'Conversion Range'!$A$2:$A$35,0))-INDEX('Conversion Range'!$C$2:$C$35,MATCH(AH$1,'Conversion Range'!$A$2:$A$35,0)))),3))</f>
        <v>6.5000000000000002E-2</v>
      </c>
      <c r="AI25" s="15">
        <f>IF('Legend Attributes'!AI25=0,0,ROUND(IF(INDEX('Conversion Range'!$E$2:$E$35,MATCH(AI$1,'Conversion Range'!$A$2:$A$35,0))=1,INDEX('Conversion Range'!$D$2:$D$35,MATCH(AI$1,'Conversion Range'!$A$2:$A$35,0))-(('Legend Attributes'!AI25-1)/19)*(INDEX('Conversion Range'!$D$2:$D$35,MATCH(AI$1,'Conversion Range'!$A$2:$A$35,0))-INDEX('Conversion Range'!$C$2:$C$35,MATCH(AI$1,'Conversion Range'!$A$2:$A$35,0))),INDEX('Conversion Range'!$C$2:$C$35,MATCH(AI$1,'Conversion Range'!$A$2:$A$35,0))+(('Legend Attributes'!AI25-1)/19)*(INDEX('Conversion Range'!$D$2:$D$35,MATCH(AI$1,'Conversion Range'!$A$2:$A$35,0))-INDEX('Conversion Range'!$C$2:$C$35,MATCH(AI$1,'Conversion Range'!$A$2:$A$35,0)))),3))</f>
        <v>6.0000000000000001E-3</v>
      </c>
      <c r="AJ25" s="15">
        <f>IF('Legend Attributes'!AJ25=0,0,ROUND(IF(INDEX('Conversion Range'!$E$2:$E$35,MATCH(AJ$1,'Conversion Range'!$A$2:$A$35,0))=1,INDEX('Conversion Range'!$D$2:$D$35,MATCH(AJ$1,'Conversion Range'!$A$2:$A$35,0))-(('Legend Attributes'!AJ25-1)/19)*(INDEX('Conversion Range'!$D$2:$D$35,MATCH(AJ$1,'Conversion Range'!$A$2:$A$35,0))-INDEX('Conversion Range'!$C$2:$C$35,MATCH(AJ$1,'Conversion Range'!$A$2:$A$35,0))),INDEX('Conversion Range'!$C$2:$C$35,MATCH(AJ$1,'Conversion Range'!$A$2:$A$35,0))+(('Legend Attributes'!AJ25-1)/19)*(INDEX('Conversion Range'!$D$2:$D$35,MATCH(AJ$1,'Conversion Range'!$A$2:$A$35,0))-INDEX('Conversion Range'!$C$2:$C$35,MATCH(AJ$1,'Conversion Range'!$A$2:$A$35,0)))),3))</f>
        <v>8.1999999999999993</v>
      </c>
    </row>
    <row r="26" spans="1:36" x14ac:dyDescent="0.35">
      <c r="A26" s="14" t="str">
        <f>'Legend Attributes'!A26</f>
        <v>Cristiano Ronaldo</v>
      </c>
      <c r="B26" s="15" t="str">
        <f>'Legend Attributes'!B26</f>
        <v>ST</v>
      </c>
      <c r="C26" s="15">
        <f>IF('Legend Attributes'!C26=0,0,ROUND(IF(INDEX('Conversion Range'!$E$2:$E$35,MATCH(C$1,'Conversion Range'!$A$2:$A$35,0))=1,INDEX('Conversion Range'!$D$2:$D$35,MATCH(C$1,'Conversion Range'!$A$2:$A$35,0))-(('Legend Attributes'!C26-1)/19)*(INDEX('Conversion Range'!$D$2:$D$35,MATCH(C$1,'Conversion Range'!$A$2:$A$35,0))-INDEX('Conversion Range'!$C$2:$C$35,MATCH(C$1,'Conversion Range'!$A$2:$A$35,0))),INDEX('Conversion Range'!$C$2:$C$35,MATCH(C$1,'Conversion Range'!$A$2:$A$35,0))+(('Legend Attributes'!C26-1)/19)*(INDEX('Conversion Range'!$D$2:$D$35,MATCH(C$1,'Conversion Range'!$A$2:$A$35,0))-INDEX('Conversion Range'!$C$2:$C$35,MATCH(C$1,'Conversion Range'!$A$2:$A$35,0)))),3))</f>
        <v>0.85</v>
      </c>
      <c r="D26" s="15">
        <f>IF('Legend Attributes'!D26=0,0,ROUND(IF(INDEX('Conversion Range'!$E$2:$E$35,MATCH(D$1,'Conversion Range'!$A$2:$A$35,0))=1,INDEX('Conversion Range'!$D$2:$D$35,MATCH(D$1,'Conversion Range'!$A$2:$A$35,0))-(('Legend Attributes'!D26-1)/19)*(INDEX('Conversion Range'!$D$2:$D$35,MATCH(D$1,'Conversion Range'!$A$2:$A$35,0))-INDEX('Conversion Range'!$C$2:$C$35,MATCH(D$1,'Conversion Range'!$A$2:$A$35,0))),INDEX('Conversion Range'!$C$2:$C$35,MATCH(D$1,'Conversion Range'!$A$2:$A$35,0))+(('Legend Attributes'!D26-1)/19)*(INDEX('Conversion Range'!$D$2:$D$35,MATCH(D$1,'Conversion Range'!$A$2:$A$35,0))-INDEX('Conversion Range'!$C$2:$C$35,MATCH(D$1,'Conversion Range'!$A$2:$A$35,0)))),3))</f>
        <v>0.71199999999999997</v>
      </c>
      <c r="E26" s="15">
        <f>IF('Legend Attributes'!E26=0,0,ROUND(IF(INDEX('Conversion Range'!$E$2:$E$35,MATCH(E$1,'Conversion Range'!$A$2:$A$35,0))=1,INDEX('Conversion Range'!$D$2:$D$35,MATCH(E$1,'Conversion Range'!$A$2:$A$35,0))-(('Legend Attributes'!E26-1)/19)*(INDEX('Conversion Range'!$D$2:$D$35,MATCH(E$1,'Conversion Range'!$A$2:$A$35,0))-INDEX('Conversion Range'!$C$2:$C$35,MATCH(E$1,'Conversion Range'!$A$2:$A$35,0))),INDEX('Conversion Range'!$C$2:$C$35,MATCH(E$1,'Conversion Range'!$A$2:$A$35,0))+(('Legend Attributes'!E26-1)/19)*(INDEX('Conversion Range'!$D$2:$D$35,MATCH(E$1,'Conversion Range'!$A$2:$A$35,0))-INDEX('Conversion Range'!$C$2:$C$35,MATCH(E$1,'Conversion Range'!$A$2:$A$35,0)))),3))</f>
        <v>0.23699999999999999</v>
      </c>
      <c r="F26" s="15">
        <f>IF('Legend Attributes'!F26=0,0,ROUND(IF(INDEX('Conversion Range'!$E$2:$E$35,MATCH(F$1,'Conversion Range'!$A$2:$A$35,0))=1,INDEX('Conversion Range'!$D$2:$D$35,MATCH(F$1,'Conversion Range'!$A$2:$A$35,0))-(('Legend Attributes'!F26-1)/19)*(INDEX('Conversion Range'!$D$2:$D$35,MATCH(F$1,'Conversion Range'!$A$2:$A$35,0))-INDEX('Conversion Range'!$C$2:$C$35,MATCH(F$1,'Conversion Range'!$A$2:$A$35,0))),INDEX('Conversion Range'!$C$2:$C$35,MATCH(F$1,'Conversion Range'!$A$2:$A$35,0))+(('Legend Attributes'!F26-1)/19)*(INDEX('Conversion Range'!$D$2:$D$35,MATCH(F$1,'Conversion Range'!$A$2:$A$35,0))-INDEX('Conversion Range'!$C$2:$C$35,MATCH(F$1,'Conversion Range'!$A$2:$A$35,0)))),3))</f>
        <v>4</v>
      </c>
      <c r="G26" s="15">
        <f>IF('Legend Attributes'!G26=0,0,ROUND(IF(INDEX('Conversion Range'!$E$2:$E$35,MATCH(G$1,'Conversion Range'!$A$2:$A$35,0))=1,INDEX('Conversion Range'!$D$2:$D$35,MATCH(G$1,'Conversion Range'!$A$2:$A$35,0))-(('Legend Attributes'!G26-1)/19)*(INDEX('Conversion Range'!$D$2:$D$35,MATCH(G$1,'Conversion Range'!$A$2:$A$35,0))-INDEX('Conversion Range'!$C$2:$C$35,MATCH(G$1,'Conversion Range'!$A$2:$A$35,0))),INDEX('Conversion Range'!$C$2:$C$35,MATCH(G$1,'Conversion Range'!$A$2:$A$35,0))+(('Legend Attributes'!G26-1)/19)*(INDEX('Conversion Range'!$D$2:$D$35,MATCH(G$1,'Conversion Range'!$A$2:$A$35,0))-INDEX('Conversion Range'!$C$2:$C$35,MATCH(G$1,'Conversion Range'!$A$2:$A$35,0)))),3))</f>
        <v>2.1829999999999998</v>
      </c>
      <c r="H26" s="15">
        <f>IF('Legend Attributes'!H26=0,0,ROUND(IF(INDEX('Conversion Range'!$E$2:$E$35,MATCH(H$1,'Conversion Range'!$A$2:$A$35,0))=1,INDEX('Conversion Range'!$D$2:$D$35,MATCH(H$1,'Conversion Range'!$A$2:$A$35,0))-(('Legend Attributes'!H26-1)/19)*(INDEX('Conversion Range'!$D$2:$D$35,MATCH(H$1,'Conversion Range'!$A$2:$A$35,0))-INDEX('Conversion Range'!$C$2:$C$35,MATCH(H$1,'Conversion Range'!$A$2:$A$35,0))),INDEX('Conversion Range'!$C$2:$C$35,MATCH(H$1,'Conversion Range'!$A$2:$A$35,0))+(('Legend Attributes'!H26-1)/19)*(INDEX('Conversion Range'!$D$2:$D$35,MATCH(H$1,'Conversion Range'!$A$2:$A$35,0))-INDEX('Conversion Range'!$C$2:$C$35,MATCH(H$1,'Conversion Range'!$A$2:$A$35,0)))),3))</f>
        <v>1</v>
      </c>
      <c r="I26" s="15">
        <f>IF('Legend Attributes'!I26=0,0,ROUND(IF(INDEX('Conversion Range'!$E$2:$E$35,MATCH(I$1,'Conversion Range'!$A$2:$A$35,0))=1,INDEX('Conversion Range'!$D$2:$D$35,MATCH(I$1,'Conversion Range'!$A$2:$A$35,0))-(('Legend Attributes'!I26-1)/19)*(INDEX('Conversion Range'!$D$2:$D$35,MATCH(I$1,'Conversion Range'!$A$2:$A$35,0))-INDEX('Conversion Range'!$C$2:$C$35,MATCH(I$1,'Conversion Range'!$A$2:$A$35,0))),INDEX('Conversion Range'!$C$2:$C$35,MATCH(I$1,'Conversion Range'!$A$2:$A$35,0))+(('Legend Attributes'!I26-1)/19)*(INDEX('Conversion Range'!$D$2:$D$35,MATCH(I$1,'Conversion Range'!$A$2:$A$35,0))-INDEX('Conversion Range'!$C$2:$C$35,MATCH(I$1,'Conversion Range'!$A$2:$A$35,0)))),3))</f>
        <v>1.4159999999999999</v>
      </c>
      <c r="J26" s="15">
        <f>IF('Legend Attributes'!J26=0,0,ROUND(IF(INDEX('Conversion Range'!$E$2:$E$35,MATCH(J$1,'Conversion Range'!$A$2:$A$35,0))=1,INDEX('Conversion Range'!$D$2:$D$35,MATCH(J$1,'Conversion Range'!$A$2:$A$35,0))-(('Legend Attributes'!J26-1)/19)*(INDEX('Conversion Range'!$D$2:$D$35,MATCH(J$1,'Conversion Range'!$A$2:$A$35,0))-INDEX('Conversion Range'!$C$2:$C$35,MATCH(J$1,'Conversion Range'!$A$2:$A$35,0))),INDEX('Conversion Range'!$C$2:$C$35,MATCH(J$1,'Conversion Range'!$A$2:$A$35,0))+(('Legend Attributes'!J26-1)/19)*(INDEX('Conversion Range'!$D$2:$D$35,MATCH(J$1,'Conversion Range'!$A$2:$A$35,0))-INDEX('Conversion Range'!$C$2:$C$35,MATCH(J$1,'Conversion Range'!$A$2:$A$35,0)))),3))</f>
        <v>0.68899999999999995</v>
      </c>
      <c r="K26" s="15">
        <f>IF('Legend Attributes'!K26=0,0,ROUND(IF(INDEX('Conversion Range'!$E$2:$E$35,MATCH(K$1,'Conversion Range'!$A$2:$A$35,0))=1,INDEX('Conversion Range'!$D$2:$D$35,MATCH(K$1,'Conversion Range'!$A$2:$A$35,0))-(('Legend Attributes'!K26-1)/19)*(INDEX('Conversion Range'!$D$2:$D$35,MATCH(K$1,'Conversion Range'!$A$2:$A$35,0))-INDEX('Conversion Range'!$C$2:$C$35,MATCH(K$1,'Conversion Range'!$A$2:$A$35,0))),INDEX('Conversion Range'!$C$2:$C$35,MATCH(K$1,'Conversion Range'!$A$2:$A$35,0))+(('Legend Attributes'!K26-1)/19)*(INDEX('Conversion Range'!$D$2:$D$35,MATCH(K$1,'Conversion Range'!$A$2:$A$35,0))-INDEX('Conversion Range'!$C$2:$C$35,MATCH(K$1,'Conversion Range'!$A$2:$A$35,0)))),3))</f>
        <v>0.33200000000000002</v>
      </c>
      <c r="L26" s="15">
        <f>IF('Legend Attributes'!L26=0,0,ROUND(IF(INDEX('Conversion Range'!$E$2:$E$35,MATCH(L$1,'Conversion Range'!$A$2:$A$35,0))=1,INDEX('Conversion Range'!$D$2:$D$35,MATCH(L$1,'Conversion Range'!$A$2:$A$35,0))-(('Legend Attributes'!L26-1)/19)*(INDEX('Conversion Range'!$D$2:$D$35,MATCH(L$1,'Conversion Range'!$A$2:$A$35,0))-INDEX('Conversion Range'!$C$2:$C$35,MATCH(L$1,'Conversion Range'!$A$2:$A$35,0))),INDEX('Conversion Range'!$C$2:$C$35,MATCH(L$1,'Conversion Range'!$A$2:$A$35,0))+(('Legend Attributes'!L26-1)/19)*(INDEX('Conversion Range'!$D$2:$D$35,MATCH(L$1,'Conversion Range'!$A$2:$A$35,0))-INDEX('Conversion Range'!$C$2:$C$35,MATCH(L$1,'Conversion Range'!$A$2:$A$35,0)))),3))</f>
        <v>0</v>
      </c>
      <c r="M26" s="15">
        <f>IF('Legend Attributes'!M26=0,0,ROUND(IF(INDEX('Conversion Range'!$E$2:$E$35,MATCH(M$1,'Conversion Range'!$A$2:$A$35,0))=1,INDEX('Conversion Range'!$D$2:$D$35,MATCH(M$1,'Conversion Range'!$A$2:$A$35,0))-(('Legend Attributes'!M26-1)/19)*(INDEX('Conversion Range'!$D$2:$D$35,MATCH(M$1,'Conversion Range'!$A$2:$A$35,0))-INDEX('Conversion Range'!$C$2:$C$35,MATCH(M$1,'Conversion Range'!$A$2:$A$35,0))),INDEX('Conversion Range'!$C$2:$C$35,MATCH(M$1,'Conversion Range'!$A$2:$A$35,0))+(('Legend Attributes'!M26-1)/19)*(INDEX('Conversion Range'!$D$2:$D$35,MATCH(M$1,'Conversion Range'!$A$2:$A$35,0))-INDEX('Conversion Range'!$C$2:$C$35,MATCH(M$1,'Conversion Range'!$A$2:$A$35,0)))),3))</f>
        <v>8.4000000000000005E-2</v>
      </c>
      <c r="N26" s="15">
        <f>IF('Legend Attributes'!N26=0,0,ROUND(IF(INDEX('Conversion Range'!$E$2:$E$35,MATCH(N$1,'Conversion Range'!$A$2:$A$35,0))=1,INDEX('Conversion Range'!$D$2:$D$35,MATCH(N$1,'Conversion Range'!$A$2:$A$35,0))-(('Legend Attributes'!N26-1)/19)*(INDEX('Conversion Range'!$D$2:$D$35,MATCH(N$1,'Conversion Range'!$A$2:$A$35,0))-INDEX('Conversion Range'!$C$2:$C$35,MATCH(N$1,'Conversion Range'!$A$2:$A$35,0))),INDEX('Conversion Range'!$C$2:$C$35,MATCH(N$1,'Conversion Range'!$A$2:$A$35,0))+(('Legend Attributes'!N26-1)/19)*(INDEX('Conversion Range'!$D$2:$D$35,MATCH(N$1,'Conversion Range'!$A$2:$A$35,0))-INDEX('Conversion Range'!$C$2:$C$35,MATCH(N$1,'Conversion Range'!$A$2:$A$35,0)))),3))</f>
        <v>4.3680000000000003</v>
      </c>
      <c r="O26" s="15">
        <f>IF('Legend Attributes'!O26=0,0,ROUND(IF(INDEX('Conversion Range'!$E$2:$E$35,MATCH(O$1,'Conversion Range'!$A$2:$A$35,0))=1,INDEX('Conversion Range'!$D$2:$D$35,MATCH(O$1,'Conversion Range'!$A$2:$A$35,0))-(('Legend Attributes'!O26-1)/19)*(INDEX('Conversion Range'!$D$2:$D$35,MATCH(O$1,'Conversion Range'!$A$2:$A$35,0))-INDEX('Conversion Range'!$C$2:$C$35,MATCH(O$1,'Conversion Range'!$A$2:$A$35,0))),INDEX('Conversion Range'!$C$2:$C$35,MATCH(O$1,'Conversion Range'!$A$2:$A$35,0))+(('Legend Attributes'!O26-1)/19)*(INDEX('Conversion Range'!$D$2:$D$35,MATCH(O$1,'Conversion Range'!$A$2:$A$35,0))-INDEX('Conversion Range'!$C$2:$C$35,MATCH(O$1,'Conversion Range'!$A$2:$A$35,0)))),3))</f>
        <v>2.2210000000000001</v>
      </c>
      <c r="P26" s="15">
        <f>IF('Legend Attributes'!P26=0,0,ROUND(IF(INDEX('Conversion Range'!$E$2:$E$35,MATCH(P$1,'Conversion Range'!$A$2:$A$35,0))=1,INDEX('Conversion Range'!$D$2:$D$35,MATCH(P$1,'Conversion Range'!$A$2:$A$35,0))-(('Legend Attributes'!P26-1)/19)*(INDEX('Conversion Range'!$D$2:$D$35,MATCH(P$1,'Conversion Range'!$A$2:$A$35,0))-INDEX('Conversion Range'!$C$2:$C$35,MATCH(P$1,'Conversion Range'!$A$2:$A$35,0))),INDEX('Conversion Range'!$C$2:$C$35,MATCH(P$1,'Conversion Range'!$A$2:$A$35,0))+(('Legend Attributes'!P26-1)/19)*(INDEX('Conversion Range'!$D$2:$D$35,MATCH(P$1,'Conversion Range'!$A$2:$A$35,0))-INDEX('Conversion Range'!$C$2:$C$35,MATCH(P$1,'Conversion Range'!$A$2:$A$35,0)))),3))</f>
        <v>64.736999999999995</v>
      </c>
      <c r="Q26" s="15">
        <f>IF('Legend Attributes'!Q26=0,0,ROUND(IF(INDEX('Conversion Range'!$E$2:$E$35,MATCH(Q$1,'Conversion Range'!$A$2:$A$35,0))=1,INDEX('Conversion Range'!$D$2:$D$35,MATCH(Q$1,'Conversion Range'!$A$2:$A$35,0))-(('Legend Attributes'!Q26-1)/19)*(INDEX('Conversion Range'!$D$2:$D$35,MATCH(Q$1,'Conversion Range'!$A$2:$A$35,0))-INDEX('Conversion Range'!$C$2:$C$35,MATCH(Q$1,'Conversion Range'!$A$2:$A$35,0))),INDEX('Conversion Range'!$C$2:$C$35,MATCH(Q$1,'Conversion Range'!$A$2:$A$35,0))+(('Legend Attributes'!Q26-1)/19)*(INDEX('Conversion Range'!$D$2:$D$35,MATCH(Q$1,'Conversion Range'!$A$2:$A$35,0))-INDEX('Conversion Range'!$C$2:$C$35,MATCH(Q$1,'Conversion Range'!$A$2:$A$35,0)))),3))</f>
        <v>57.579000000000001</v>
      </c>
      <c r="R26" s="15">
        <f>IF('Legend Attributes'!R26=0,0,ROUND(IF(INDEX('Conversion Range'!$E$2:$E$35,MATCH(R$1,'Conversion Range'!$A$2:$A$35,0))=1,INDEX('Conversion Range'!$D$2:$D$35,MATCH(R$1,'Conversion Range'!$A$2:$A$35,0))-(('Legend Attributes'!R26-1)/19)*(INDEX('Conversion Range'!$D$2:$D$35,MATCH(R$1,'Conversion Range'!$A$2:$A$35,0))-INDEX('Conversion Range'!$C$2:$C$35,MATCH(R$1,'Conversion Range'!$A$2:$A$35,0))),INDEX('Conversion Range'!$C$2:$C$35,MATCH(R$1,'Conversion Range'!$A$2:$A$35,0))+(('Legend Attributes'!R26-1)/19)*(INDEX('Conversion Range'!$D$2:$D$35,MATCH(R$1,'Conversion Range'!$A$2:$A$35,0))-INDEX('Conversion Range'!$C$2:$C$35,MATCH(R$1,'Conversion Range'!$A$2:$A$35,0)))),3))</f>
        <v>82.367999999999995</v>
      </c>
      <c r="S26" s="15">
        <f>IF('Legend Attributes'!S26=0,0,ROUND(IF(INDEX('Conversion Range'!$E$2:$E$35,MATCH(S$1,'Conversion Range'!$A$2:$A$35,0))=1,INDEX('Conversion Range'!$D$2:$D$35,MATCH(S$1,'Conversion Range'!$A$2:$A$35,0))-(('Legend Attributes'!S26-1)/19)*(INDEX('Conversion Range'!$D$2:$D$35,MATCH(S$1,'Conversion Range'!$A$2:$A$35,0))-INDEX('Conversion Range'!$C$2:$C$35,MATCH(S$1,'Conversion Range'!$A$2:$A$35,0))),INDEX('Conversion Range'!$C$2:$C$35,MATCH(S$1,'Conversion Range'!$A$2:$A$35,0))+(('Legend Attributes'!S26-1)/19)*(INDEX('Conversion Range'!$D$2:$D$35,MATCH(S$1,'Conversion Range'!$A$2:$A$35,0))-INDEX('Conversion Range'!$C$2:$C$35,MATCH(S$1,'Conversion Range'!$A$2:$A$35,0)))),3))</f>
        <v>1.163</v>
      </c>
      <c r="T26" s="15">
        <f>IF('Legend Attributes'!T26=0,0,ROUND(IF(INDEX('Conversion Range'!$E$2:$E$35,MATCH(T$1,'Conversion Range'!$A$2:$A$35,0))=1,INDEX('Conversion Range'!$D$2:$D$35,MATCH(T$1,'Conversion Range'!$A$2:$A$35,0))-(('Legend Attributes'!T26-1)/19)*(INDEX('Conversion Range'!$D$2:$D$35,MATCH(T$1,'Conversion Range'!$A$2:$A$35,0))-INDEX('Conversion Range'!$C$2:$C$35,MATCH(T$1,'Conversion Range'!$A$2:$A$35,0))),INDEX('Conversion Range'!$C$2:$C$35,MATCH(T$1,'Conversion Range'!$A$2:$A$35,0))+(('Legend Attributes'!T26-1)/19)*(INDEX('Conversion Range'!$D$2:$D$35,MATCH(T$1,'Conversion Range'!$A$2:$A$35,0))-INDEX('Conversion Range'!$C$2:$C$35,MATCH(T$1,'Conversion Range'!$A$2:$A$35,0)))),3))</f>
        <v>40.841999999999999</v>
      </c>
      <c r="U26" s="15">
        <f>IF('Legend Attributes'!U26=0,0,ROUND(IF(INDEX('Conversion Range'!$E$2:$E$35,MATCH(U$1,'Conversion Range'!$A$2:$A$35,0))=1,INDEX('Conversion Range'!$D$2:$D$35,MATCH(U$1,'Conversion Range'!$A$2:$A$35,0))-(('Legend Attributes'!U26-1)/19)*(INDEX('Conversion Range'!$D$2:$D$35,MATCH(U$1,'Conversion Range'!$A$2:$A$35,0))-INDEX('Conversion Range'!$C$2:$C$35,MATCH(U$1,'Conversion Range'!$A$2:$A$35,0))),INDEX('Conversion Range'!$C$2:$C$35,MATCH(U$1,'Conversion Range'!$A$2:$A$35,0))+(('Legend Attributes'!U26-1)/19)*(INDEX('Conversion Range'!$D$2:$D$35,MATCH(U$1,'Conversion Range'!$A$2:$A$35,0))-INDEX('Conversion Range'!$C$2:$C$35,MATCH(U$1,'Conversion Range'!$A$2:$A$35,0)))),3))</f>
        <v>4.4050000000000002</v>
      </c>
      <c r="V26" s="15">
        <f>IF('Legend Attributes'!V26=0,0,ROUND(IF(INDEX('Conversion Range'!$E$2:$E$35,MATCH(V$1,'Conversion Range'!$A$2:$A$35,0))=1,INDEX('Conversion Range'!$D$2:$D$35,MATCH(V$1,'Conversion Range'!$A$2:$A$35,0))-(('Legend Attributes'!V26-1)/19)*(INDEX('Conversion Range'!$D$2:$D$35,MATCH(V$1,'Conversion Range'!$A$2:$A$35,0))-INDEX('Conversion Range'!$C$2:$C$35,MATCH(V$1,'Conversion Range'!$A$2:$A$35,0))),INDEX('Conversion Range'!$C$2:$C$35,MATCH(V$1,'Conversion Range'!$A$2:$A$35,0))+(('Legend Attributes'!V26-1)/19)*(INDEX('Conversion Range'!$D$2:$D$35,MATCH(V$1,'Conversion Range'!$A$2:$A$35,0))-INDEX('Conversion Range'!$C$2:$C$35,MATCH(V$1,'Conversion Range'!$A$2:$A$35,0)))),3))</f>
        <v>63.158000000000001</v>
      </c>
      <c r="W26" s="15">
        <f>IF('Legend Attributes'!W26=0,0,ROUND(IF(INDEX('Conversion Range'!$E$2:$E$35,MATCH(W$1,'Conversion Range'!$A$2:$A$35,0))=1,INDEX('Conversion Range'!$D$2:$D$35,MATCH(W$1,'Conversion Range'!$A$2:$A$35,0))-(('Legend Attributes'!W26-1)/19)*(INDEX('Conversion Range'!$D$2:$D$35,MATCH(W$1,'Conversion Range'!$A$2:$A$35,0))-INDEX('Conversion Range'!$C$2:$C$35,MATCH(W$1,'Conversion Range'!$A$2:$A$35,0))),INDEX('Conversion Range'!$C$2:$C$35,MATCH(W$1,'Conversion Range'!$A$2:$A$35,0))+(('Legend Attributes'!W26-1)/19)*(INDEX('Conversion Range'!$D$2:$D$35,MATCH(W$1,'Conversion Range'!$A$2:$A$35,0))-INDEX('Conversion Range'!$C$2:$C$35,MATCH(W$1,'Conversion Range'!$A$2:$A$35,0)))),3))</f>
        <v>0.23699999999999999</v>
      </c>
      <c r="X26" s="15">
        <f>IF('Legend Attributes'!X26=0,0,ROUND(IF(INDEX('Conversion Range'!$E$2:$E$35,MATCH(X$1,'Conversion Range'!$A$2:$A$35,0))=1,INDEX('Conversion Range'!$D$2:$D$35,MATCH(X$1,'Conversion Range'!$A$2:$A$35,0))-(('Legend Attributes'!X26-1)/19)*(INDEX('Conversion Range'!$D$2:$D$35,MATCH(X$1,'Conversion Range'!$A$2:$A$35,0))-INDEX('Conversion Range'!$C$2:$C$35,MATCH(X$1,'Conversion Range'!$A$2:$A$35,0))),INDEX('Conversion Range'!$C$2:$C$35,MATCH(X$1,'Conversion Range'!$A$2:$A$35,0))+(('Legend Attributes'!X26-1)/19)*(INDEX('Conversion Range'!$D$2:$D$35,MATCH(X$1,'Conversion Range'!$A$2:$A$35,0))-INDEX('Conversion Range'!$C$2:$C$35,MATCH(X$1,'Conversion Range'!$A$2:$A$35,0)))),3))</f>
        <v>0.40500000000000003</v>
      </c>
      <c r="Y26" s="15">
        <f>IF('Legend Attributes'!Y26=0,0,ROUND(IF(INDEX('Conversion Range'!$E$2:$E$35,MATCH(Y$1,'Conversion Range'!$A$2:$A$35,0))=1,INDEX('Conversion Range'!$D$2:$D$35,MATCH(Y$1,'Conversion Range'!$A$2:$A$35,0))-(('Legend Attributes'!Y26-1)/19)*(INDEX('Conversion Range'!$D$2:$D$35,MATCH(Y$1,'Conversion Range'!$A$2:$A$35,0))-INDEX('Conversion Range'!$C$2:$C$35,MATCH(Y$1,'Conversion Range'!$A$2:$A$35,0))),INDEX('Conversion Range'!$C$2:$C$35,MATCH(Y$1,'Conversion Range'!$A$2:$A$35,0))+(('Legend Attributes'!Y26-1)/19)*(INDEX('Conversion Range'!$D$2:$D$35,MATCH(Y$1,'Conversion Range'!$A$2:$A$35,0))-INDEX('Conversion Range'!$C$2:$C$35,MATCH(Y$1,'Conversion Range'!$A$2:$A$35,0)))),3))</f>
        <v>0.33200000000000002</v>
      </c>
      <c r="Z26" s="15">
        <f>IF('Legend Attributes'!Z26=0,0,ROUND(IF(INDEX('Conversion Range'!$E$2:$E$35,MATCH(Z$1,'Conversion Range'!$A$2:$A$35,0))=1,INDEX('Conversion Range'!$D$2:$D$35,MATCH(Z$1,'Conversion Range'!$A$2:$A$35,0))-(('Legend Attributes'!Z26-1)/19)*(INDEX('Conversion Range'!$D$2:$D$35,MATCH(Z$1,'Conversion Range'!$A$2:$A$35,0))-INDEX('Conversion Range'!$C$2:$C$35,MATCH(Z$1,'Conversion Range'!$A$2:$A$35,0))),INDEX('Conversion Range'!$C$2:$C$35,MATCH(Z$1,'Conversion Range'!$A$2:$A$35,0))+(('Legend Attributes'!Z26-1)/19)*(INDEX('Conversion Range'!$D$2:$D$35,MATCH(Z$1,'Conversion Range'!$A$2:$A$35,0))-INDEX('Conversion Range'!$C$2:$C$35,MATCH(Z$1,'Conversion Range'!$A$2:$A$35,0)))),3))</f>
        <v>7.4470000000000001</v>
      </c>
      <c r="AA26" s="15">
        <f>IF('Legend Attributes'!AA26=0,0,ROUND(IF(INDEX('Conversion Range'!$E$2:$E$35,MATCH(AA$1,'Conversion Range'!$A$2:$A$35,0))=1,INDEX('Conversion Range'!$D$2:$D$35,MATCH(AA$1,'Conversion Range'!$A$2:$A$35,0))-(('Legend Attributes'!AA26-1)/19)*(INDEX('Conversion Range'!$D$2:$D$35,MATCH(AA$1,'Conversion Range'!$A$2:$A$35,0))-INDEX('Conversion Range'!$C$2:$C$35,MATCH(AA$1,'Conversion Range'!$A$2:$A$35,0))),INDEX('Conversion Range'!$C$2:$C$35,MATCH(AA$1,'Conversion Range'!$A$2:$A$35,0))+(('Legend Attributes'!AA26-1)/19)*(INDEX('Conversion Range'!$D$2:$D$35,MATCH(AA$1,'Conversion Range'!$A$2:$A$35,0))-INDEX('Conversion Range'!$C$2:$C$35,MATCH(AA$1,'Conversion Range'!$A$2:$A$35,0)))),3))</f>
        <v>0.313</v>
      </c>
      <c r="AB26" s="15">
        <f>IF('Legend Attributes'!AB26=0,0,ROUND(IF(INDEX('Conversion Range'!$E$2:$E$35,MATCH(AB$1,'Conversion Range'!$A$2:$A$35,0))=1,INDEX('Conversion Range'!$D$2:$D$35,MATCH(AB$1,'Conversion Range'!$A$2:$A$35,0))-(('Legend Attributes'!AB26-1)/19)*(INDEX('Conversion Range'!$D$2:$D$35,MATCH(AB$1,'Conversion Range'!$A$2:$A$35,0))-INDEX('Conversion Range'!$C$2:$C$35,MATCH(AB$1,'Conversion Range'!$A$2:$A$35,0))),INDEX('Conversion Range'!$C$2:$C$35,MATCH(AB$1,'Conversion Range'!$A$2:$A$35,0))+(('Legend Attributes'!AB26-1)/19)*(INDEX('Conversion Range'!$D$2:$D$35,MATCH(AB$1,'Conversion Range'!$A$2:$A$35,0))-INDEX('Conversion Range'!$C$2:$C$35,MATCH(AB$1,'Conversion Range'!$A$2:$A$35,0)))),3))</f>
        <v>0.85499999999999998</v>
      </c>
      <c r="AC26" s="15">
        <f>IF('Legend Attributes'!AC26=0,0,ROUND(IF(INDEX('Conversion Range'!$E$2:$E$35,MATCH(AC$1,'Conversion Range'!$A$2:$A$35,0))=1,INDEX('Conversion Range'!$D$2:$D$35,MATCH(AC$1,'Conversion Range'!$A$2:$A$35,0))-(('Legend Attributes'!AC26-1)/19)*(INDEX('Conversion Range'!$D$2:$D$35,MATCH(AC$1,'Conversion Range'!$A$2:$A$35,0))-INDEX('Conversion Range'!$C$2:$C$35,MATCH(AC$1,'Conversion Range'!$A$2:$A$35,0))),INDEX('Conversion Range'!$C$2:$C$35,MATCH(AC$1,'Conversion Range'!$A$2:$A$35,0))+(('Legend Attributes'!AC26-1)/19)*(INDEX('Conversion Range'!$D$2:$D$35,MATCH(AC$1,'Conversion Range'!$A$2:$A$35,0))-INDEX('Conversion Range'!$C$2:$C$35,MATCH(AC$1,'Conversion Range'!$A$2:$A$35,0)))),3))</f>
        <v>0.33100000000000002</v>
      </c>
      <c r="AD26" s="15">
        <f>IF('Legend Attributes'!AD26=0,0,ROUND(IF(INDEX('Conversion Range'!$E$2:$E$35,MATCH(AD$1,'Conversion Range'!$A$2:$A$35,0))=1,INDEX('Conversion Range'!$D$2:$D$35,MATCH(AD$1,'Conversion Range'!$A$2:$A$35,0))-(('Legend Attributes'!AD26-1)/19)*(INDEX('Conversion Range'!$D$2:$D$35,MATCH(AD$1,'Conversion Range'!$A$2:$A$35,0))-INDEX('Conversion Range'!$C$2:$C$35,MATCH(AD$1,'Conversion Range'!$A$2:$A$35,0))),INDEX('Conversion Range'!$C$2:$C$35,MATCH(AD$1,'Conversion Range'!$A$2:$A$35,0))+(('Legend Attributes'!AD26-1)/19)*(INDEX('Conversion Range'!$D$2:$D$35,MATCH(AD$1,'Conversion Range'!$A$2:$A$35,0))-INDEX('Conversion Range'!$C$2:$C$35,MATCH(AD$1,'Conversion Range'!$A$2:$A$35,0)))),3))</f>
        <v>0</v>
      </c>
      <c r="AE26" s="15">
        <f>IF('Legend Attributes'!AE26=0,0,ROUND(IF(INDEX('Conversion Range'!$E$2:$E$35,MATCH(AE$1,'Conversion Range'!$A$2:$A$35,0))=1,INDEX('Conversion Range'!$D$2:$D$35,MATCH(AE$1,'Conversion Range'!$A$2:$A$35,0))-(('Legend Attributes'!AE26-1)/19)*(INDEX('Conversion Range'!$D$2:$D$35,MATCH(AE$1,'Conversion Range'!$A$2:$A$35,0))-INDEX('Conversion Range'!$C$2:$C$35,MATCH(AE$1,'Conversion Range'!$A$2:$A$35,0))),INDEX('Conversion Range'!$C$2:$C$35,MATCH(AE$1,'Conversion Range'!$A$2:$A$35,0))+(('Legend Attributes'!AE26-1)/19)*(INDEX('Conversion Range'!$D$2:$D$35,MATCH(AE$1,'Conversion Range'!$A$2:$A$35,0))-INDEX('Conversion Range'!$C$2:$C$35,MATCH(AE$1,'Conversion Range'!$A$2:$A$35,0)))),3))</f>
        <v>0</v>
      </c>
      <c r="AF26" s="15">
        <f>IF('Legend Attributes'!AF26=0,0,ROUND(IF(INDEX('Conversion Range'!$E$2:$E$35,MATCH(AF$1,'Conversion Range'!$A$2:$A$35,0))=1,INDEX('Conversion Range'!$D$2:$D$35,MATCH(AF$1,'Conversion Range'!$A$2:$A$35,0))-(('Legend Attributes'!AF26-1)/19)*(INDEX('Conversion Range'!$D$2:$D$35,MATCH(AF$1,'Conversion Range'!$A$2:$A$35,0))-INDEX('Conversion Range'!$C$2:$C$35,MATCH(AF$1,'Conversion Range'!$A$2:$A$35,0))),INDEX('Conversion Range'!$C$2:$C$35,MATCH(AF$1,'Conversion Range'!$A$2:$A$35,0))+(('Legend Attributes'!AF26-1)/19)*(INDEX('Conversion Range'!$D$2:$D$35,MATCH(AF$1,'Conversion Range'!$A$2:$A$35,0))-INDEX('Conversion Range'!$C$2:$C$35,MATCH(AF$1,'Conversion Range'!$A$2:$A$35,0)))),3))</f>
        <v>0</v>
      </c>
      <c r="AG26" s="15">
        <f>IF('Legend Attributes'!AG26=0,0,ROUND(IF(INDEX('Conversion Range'!$E$2:$E$35,MATCH(AG$1,'Conversion Range'!$A$2:$A$35,0))=1,INDEX('Conversion Range'!$D$2:$D$35,MATCH(AG$1,'Conversion Range'!$A$2:$A$35,0))-(('Legend Attributes'!AG26-1)/19)*(INDEX('Conversion Range'!$D$2:$D$35,MATCH(AG$1,'Conversion Range'!$A$2:$A$35,0))-INDEX('Conversion Range'!$C$2:$C$35,MATCH(AG$1,'Conversion Range'!$A$2:$A$35,0))),INDEX('Conversion Range'!$C$2:$C$35,MATCH(AG$1,'Conversion Range'!$A$2:$A$35,0))+(('Legend Attributes'!AG26-1)/19)*(INDEX('Conversion Range'!$D$2:$D$35,MATCH(AG$1,'Conversion Range'!$A$2:$A$35,0))-INDEX('Conversion Range'!$C$2:$C$35,MATCH(AG$1,'Conversion Range'!$A$2:$A$35,0)))),3))</f>
        <v>0.89500000000000002</v>
      </c>
      <c r="AH26" s="15">
        <f>IF('Legend Attributes'!AH26=0,0,ROUND(IF(INDEX('Conversion Range'!$E$2:$E$35,MATCH(AH$1,'Conversion Range'!$A$2:$A$35,0))=1,INDEX('Conversion Range'!$D$2:$D$35,MATCH(AH$1,'Conversion Range'!$A$2:$A$35,0))-(('Legend Attributes'!AH26-1)/19)*(INDEX('Conversion Range'!$D$2:$D$35,MATCH(AH$1,'Conversion Range'!$A$2:$A$35,0))-INDEX('Conversion Range'!$C$2:$C$35,MATCH(AH$1,'Conversion Range'!$A$2:$A$35,0))),INDEX('Conversion Range'!$C$2:$C$35,MATCH(AH$1,'Conversion Range'!$A$2:$A$35,0))+(('Legend Attributes'!AH26-1)/19)*(INDEX('Conversion Range'!$D$2:$D$35,MATCH(AH$1,'Conversion Range'!$A$2:$A$35,0))-INDEX('Conversion Range'!$C$2:$C$35,MATCH(AH$1,'Conversion Range'!$A$2:$A$35,0)))),3))</f>
        <v>0.13300000000000001</v>
      </c>
      <c r="AI26" s="15">
        <f>IF('Legend Attributes'!AI26=0,0,ROUND(IF(INDEX('Conversion Range'!$E$2:$E$35,MATCH(AI$1,'Conversion Range'!$A$2:$A$35,0))=1,INDEX('Conversion Range'!$D$2:$D$35,MATCH(AI$1,'Conversion Range'!$A$2:$A$35,0))-(('Legend Attributes'!AI26-1)/19)*(INDEX('Conversion Range'!$D$2:$D$35,MATCH(AI$1,'Conversion Range'!$A$2:$A$35,0))-INDEX('Conversion Range'!$C$2:$C$35,MATCH(AI$1,'Conversion Range'!$A$2:$A$35,0))),INDEX('Conversion Range'!$C$2:$C$35,MATCH(AI$1,'Conversion Range'!$A$2:$A$35,0))+(('Legend Attributes'!AI26-1)/19)*(INDEX('Conversion Range'!$D$2:$D$35,MATCH(AI$1,'Conversion Range'!$A$2:$A$35,0))-INDEX('Conversion Range'!$C$2:$C$35,MATCH(AI$1,'Conversion Range'!$A$2:$A$35,0)))),3))</f>
        <v>2.5000000000000001E-2</v>
      </c>
      <c r="AJ26" s="15">
        <f>IF('Legend Attributes'!AJ26=0,0,ROUND(IF(INDEX('Conversion Range'!$E$2:$E$35,MATCH(AJ$1,'Conversion Range'!$A$2:$A$35,0))=1,INDEX('Conversion Range'!$D$2:$D$35,MATCH(AJ$1,'Conversion Range'!$A$2:$A$35,0))-(('Legend Attributes'!AJ26-1)/19)*(INDEX('Conversion Range'!$D$2:$D$35,MATCH(AJ$1,'Conversion Range'!$A$2:$A$35,0))-INDEX('Conversion Range'!$C$2:$C$35,MATCH(AJ$1,'Conversion Range'!$A$2:$A$35,0))),INDEX('Conversion Range'!$C$2:$C$35,MATCH(AJ$1,'Conversion Range'!$A$2:$A$35,0))+(('Legend Attributes'!AJ26-1)/19)*(INDEX('Conversion Range'!$D$2:$D$35,MATCH(AJ$1,'Conversion Range'!$A$2:$A$35,0))-INDEX('Conversion Range'!$C$2:$C$35,MATCH(AJ$1,'Conversion Range'!$A$2:$A$35,0)))),3))</f>
        <v>8.1050000000000004</v>
      </c>
    </row>
    <row r="27" spans="1:36" x14ac:dyDescent="0.35">
      <c r="A27" s="14" t="str">
        <f>'Legend Attributes'!A27</f>
        <v>Pedro Rodríguez</v>
      </c>
      <c r="B27" s="15" t="str">
        <f>'Legend Attributes'!B27</f>
        <v>W</v>
      </c>
      <c r="C27" s="15">
        <f>IF('Legend Attributes'!C27=0,0,ROUND(IF(INDEX('Conversion Range'!$E$2:$E$35,MATCH(C$1,'Conversion Range'!$A$2:$A$35,0))=1,INDEX('Conversion Range'!$D$2:$D$35,MATCH(C$1,'Conversion Range'!$A$2:$A$35,0))-(('Legend Attributes'!C27-1)/19)*(INDEX('Conversion Range'!$D$2:$D$35,MATCH(C$1,'Conversion Range'!$A$2:$A$35,0))-INDEX('Conversion Range'!$C$2:$C$35,MATCH(C$1,'Conversion Range'!$A$2:$A$35,0))),INDEX('Conversion Range'!$C$2:$C$35,MATCH(C$1,'Conversion Range'!$A$2:$A$35,0))+(('Legend Attributes'!C27-1)/19)*(INDEX('Conversion Range'!$D$2:$D$35,MATCH(C$1,'Conversion Range'!$A$2:$A$35,0))-INDEX('Conversion Range'!$C$2:$C$35,MATCH(C$1,'Conversion Range'!$A$2:$A$35,0)))),3))</f>
        <v>0.501</v>
      </c>
      <c r="D27" s="15">
        <f>IF('Legend Attributes'!D27=0,0,ROUND(IF(INDEX('Conversion Range'!$E$2:$E$35,MATCH(D$1,'Conversion Range'!$A$2:$A$35,0))=1,INDEX('Conversion Range'!$D$2:$D$35,MATCH(D$1,'Conversion Range'!$A$2:$A$35,0))-(('Legend Attributes'!D27-1)/19)*(INDEX('Conversion Range'!$D$2:$D$35,MATCH(D$1,'Conversion Range'!$A$2:$A$35,0))-INDEX('Conversion Range'!$C$2:$C$35,MATCH(D$1,'Conversion Range'!$A$2:$A$35,0))),INDEX('Conversion Range'!$C$2:$C$35,MATCH(D$1,'Conversion Range'!$A$2:$A$35,0))+(('Legend Attributes'!D27-1)/19)*(INDEX('Conversion Range'!$D$2:$D$35,MATCH(D$1,'Conversion Range'!$A$2:$A$35,0))-INDEX('Conversion Range'!$C$2:$C$35,MATCH(D$1,'Conversion Range'!$A$2:$A$35,0)))),3))</f>
        <v>0.443</v>
      </c>
      <c r="E27" s="15">
        <f>IF('Legend Attributes'!E27=0,0,ROUND(IF(INDEX('Conversion Range'!$E$2:$E$35,MATCH(E$1,'Conversion Range'!$A$2:$A$35,0))=1,INDEX('Conversion Range'!$D$2:$D$35,MATCH(E$1,'Conversion Range'!$A$2:$A$35,0))-(('Legend Attributes'!E27-1)/19)*(INDEX('Conversion Range'!$D$2:$D$35,MATCH(E$1,'Conversion Range'!$A$2:$A$35,0))-INDEX('Conversion Range'!$C$2:$C$35,MATCH(E$1,'Conversion Range'!$A$2:$A$35,0))),INDEX('Conversion Range'!$C$2:$C$35,MATCH(E$1,'Conversion Range'!$A$2:$A$35,0))+(('Legend Attributes'!E27-1)/19)*(INDEX('Conversion Range'!$D$2:$D$35,MATCH(E$1,'Conversion Range'!$A$2:$A$35,0))-INDEX('Conversion Range'!$C$2:$C$35,MATCH(E$1,'Conversion Range'!$A$2:$A$35,0)))),3))</f>
        <v>0.29399999999999998</v>
      </c>
      <c r="F27" s="15">
        <f>IF('Legend Attributes'!F27=0,0,ROUND(IF(INDEX('Conversion Range'!$E$2:$E$35,MATCH(F$1,'Conversion Range'!$A$2:$A$35,0))=1,INDEX('Conversion Range'!$D$2:$D$35,MATCH(F$1,'Conversion Range'!$A$2:$A$35,0))-(('Legend Attributes'!F27-1)/19)*(INDEX('Conversion Range'!$D$2:$D$35,MATCH(F$1,'Conversion Range'!$A$2:$A$35,0))-INDEX('Conversion Range'!$C$2:$C$35,MATCH(F$1,'Conversion Range'!$A$2:$A$35,0))),INDEX('Conversion Range'!$C$2:$C$35,MATCH(F$1,'Conversion Range'!$A$2:$A$35,0))+(('Legend Attributes'!F27-1)/19)*(INDEX('Conversion Range'!$D$2:$D$35,MATCH(F$1,'Conversion Range'!$A$2:$A$35,0))-INDEX('Conversion Range'!$C$2:$C$35,MATCH(F$1,'Conversion Range'!$A$2:$A$35,0)))),3))</f>
        <v>2.1760000000000002</v>
      </c>
      <c r="G27" s="15">
        <f>IF('Legend Attributes'!G27=0,0,ROUND(IF(INDEX('Conversion Range'!$E$2:$E$35,MATCH(G$1,'Conversion Range'!$A$2:$A$35,0))=1,INDEX('Conversion Range'!$D$2:$D$35,MATCH(G$1,'Conversion Range'!$A$2:$A$35,0))-(('Legend Attributes'!G27-1)/19)*(INDEX('Conversion Range'!$D$2:$D$35,MATCH(G$1,'Conversion Range'!$A$2:$A$35,0))-INDEX('Conversion Range'!$C$2:$C$35,MATCH(G$1,'Conversion Range'!$A$2:$A$35,0))),INDEX('Conversion Range'!$C$2:$C$35,MATCH(G$1,'Conversion Range'!$A$2:$A$35,0))+(('Legend Attributes'!G27-1)/19)*(INDEX('Conversion Range'!$D$2:$D$35,MATCH(G$1,'Conversion Range'!$A$2:$A$35,0))-INDEX('Conversion Range'!$C$2:$C$35,MATCH(G$1,'Conversion Range'!$A$2:$A$35,0)))),3))</f>
        <v>1.248</v>
      </c>
      <c r="H27" s="15">
        <f>IF('Legend Attributes'!H27=0,0,ROUND(IF(INDEX('Conversion Range'!$E$2:$E$35,MATCH(H$1,'Conversion Range'!$A$2:$A$35,0))=1,INDEX('Conversion Range'!$D$2:$D$35,MATCH(H$1,'Conversion Range'!$A$2:$A$35,0))-(('Legend Attributes'!H27-1)/19)*(INDEX('Conversion Range'!$D$2:$D$35,MATCH(H$1,'Conversion Range'!$A$2:$A$35,0))-INDEX('Conversion Range'!$C$2:$C$35,MATCH(H$1,'Conversion Range'!$A$2:$A$35,0))),INDEX('Conversion Range'!$C$2:$C$35,MATCH(H$1,'Conversion Range'!$A$2:$A$35,0))+(('Legend Attributes'!H27-1)/19)*(INDEX('Conversion Range'!$D$2:$D$35,MATCH(H$1,'Conversion Range'!$A$2:$A$35,0))-INDEX('Conversion Range'!$C$2:$C$35,MATCH(H$1,'Conversion Range'!$A$2:$A$35,0)))),3))</f>
        <v>0.316</v>
      </c>
      <c r="I27" s="15">
        <f>IF('Legend Attributes'!I27=0,0,ROUND(IF(INDEX('Conversion Range'!$E$2:$E$35,MATCH(I$1,'Conversion Range'!$A$2:$A$35,0))=1,INDEX('Conversion Range'!$D$2:$D$35,MATCH(I$1,'Conversion Range'!$A$2:$A$35,0))-(('Legend Attributes'!I27-1)/19)*(INDEX('Conversion Range'!$D$2:$D$35,MATCH(I$1,'Conversion Range'!$A$2:$A$35,0))-INDEX('Conversion Range'!$C$2:$C$35,MATCH(I$1,'Conversion Range'!$A$2:$A$35,0))),INDEX('Conversion Range'!$C$2:$C$35,MATCH(I$1,'Conversion Range'!$A$2:$A$35,0))+(('Legend Attributes'!I27-1)/19)*(INDEX('Conversion Range'!$D$2:$D$35,MATCH(I$1,'Conversion Range'!$A$2:$A$35,0))-INDEX('Conversion Range'!$C$2:$C$35,MATCH(I$1,'Conversion Range'!$A$2:$A$35,0)))),3))</f>
        <v>1.5469999999999999</v>
      </c>
      <c r="J27" s="15">
        <f>IF('Legend Attributes'!J27=0,0,ROUND(IF(INDEX('Conversion Range'!$E$2:$E$35,MATCH(J$1,'Conversion Range'!$A$2:$A$35,0))=1,INDEX('Conversion Range'!$D$2:$D$35,MATCH(J$1,'Conversion Range'!$A$2:$A$35,0))-(('Legend Attributes'!J27-1)/19)*(INDEX('Conversion Range'!$D$2:$D$35,MATCH(J$1,'Conversion Range'!$A$2:$A$35,0))-INDEX('Conversion Range'!$C$2:$C$35,MATCH(J$1,'Conversion Range'!$A$2:$A$35,0))),INDEX('Conversion Range'!$C$2:$C$35,MATCH(J$1,'Conversion Range'!$A$2:$A$35,0))+(('Legend Attributes'!J27-1)/19)*(INDEX('Conversion Range'!$D$2:$D$35,MATCH(J$1,'Conversion Range'!$A$2:$A$35,0))-INDEX('Conversion Range'!$C$2:$C$35,MATCH(J$1,'Conversion Range'!$A$2:$A$35,0)))),3))</f>
        <v>1.5049999999999999</v>
      </c>
      <c r="K27" s="15">
        <f>IF('Legend Attributes'!K27=0,0,ROUND(IF(INDEX('Conversion Range'!$E$2:$E$35,MATCH(K$1,'Conversion Range'!$A$2:$A$35,0))=1,INDEX('Conversion Range'!$D$2:$D$35,MATCH(K$1,'Conversion Range'!$A$2:$A$35,0))-(('Legend Attributes'!K27-1)/19)*(INDEX('Conversion Range'!$D$2:$D$35,MATCH(K$1,'Conversion Range'!$A$2:$A$35,0))-INDEX('Conversion Range'!$C$2:$C$35,MATCH(K$1,'Conversion Range'!$A$2:$A$35,0))),INDEX('Conversion Range'!$C$2:$C$35,MATCH(K$1,'Conversion Range'!$A$2:$A$35,0))+(('Legend Attributes'!K27-1)/19)*(INDEX('Conversion Range'!$D$2:$D$35,MATCH(K$1,'Conversion Range'!$A$2:$A$35,0))-INDEX('Conversion Range'!$C$2:$C$35,MATCH(K$1,'Conversion Range'!$A$2:$A$35,0)))),3))</f>
        <v>0.91100000000000003</v>
      </c>
      <c r="L27" s="15">
        <f>IF('Legend Attributes'!L27=0,0,ROUND(IF(INDEX('Conversion Range'!$E$2:$E$35,MATCH(L$1,'Conversion Range'!$A$2:$A$35,0))=1,INDEX('Conversion Range'!$D$2:$D$35,MATCH(L$1,'Conversion Range'!$A$2:$A$35,0))-(('Legend Attributes'!L27-1)/19)*(INDEX('Conversion Range'!$D$2:$D$35,MATCH(L$1,'Conversion Range'!$A$2:$A$35,0))-INDEX('Conversion Range'!$C$2:$C$35,MATCH(L$1,'Conversion Range'!$A$2:$A$35,0))),INDEX('Conversion Range'!$C$2:$C$35,MATCH(L$1,'Conversion Range'!$A$2:$A$35,0))+(('Legend Attributes'!L27-1)/19)*(INDEX('Conversion Range'!$D$2:$D$35,MATCH(L$1,'Conversion Range'!$A$2:$A$35,0))-INDEX('Conversion Range'!$C$2:$C$35,MATCH(L$1,'Conversion Range'!$A$2:$A$35,0)))),3))</f>
        <v>0.32600000000000001</v>
      </c>
      <c r="M27" s="15">
        <f>IF('Legend Attributes'!M27=0,0,ROUND(IF(INDEX('Conversion Range'!$E$2:$E$35,MATCH(M$1,'Conversion Range'!$A$2:$A$35,0))=1,INDEX('Conversion Range'!$D$2:$D$35,MATCH(M$1,'Conversion Range'!$A$2:$A$35,0))-(('Legend Attributes'!M27-1)/19)*(INDEX('Conversion Range'!$D$2:$D$35,MATCH(M$1,'Conversion Range'!$A$2:$A$35,0))-INDEX('Conversion Range'!$C$2:$C$35,MATCH(M$1,'Conversion Range'!$A$2:$A$35,0))),INDEX('Conversion Range'!$C$2:$C$35,MATCH(M$1,'Conversion Range'!$A$2:$A$35,0))+(('Legend Attributes'!M27-1)/19)*(INDEX('Conversion Range'!$D$2:$D$35,MATCH(M$1,'Conversion Range'!$A$2:$A$35,0))-INDEX('Conversion Range'!$C$2:$C$35,MATCH(M$1,'Conversion Range'!$A$2:$A$35,0)))),3))</f>
        <v>0.253</v>
      </c>
      <c r="N27" s="15">
        <f>IF('Legend Attributes'!N27=0,0,ROUND(IF(INDEX('Conversion Range'!$E$2:$E$35,MATCH(N$1,'Conversion Range'!$A$2:$A$35,0))=1,INDEX('Conversion Range'!$D$2:$D$35,MATCH(N$1,'Conversion Range'!$A$2:$A$35,0))-(('Legend Attributes'!N27-1)/19)*(INDEX('Conversion Range'!$D$2:$D$35,MATCH(N$1,'Conversion Range'!$A$2:$A$35,0))-INDEX('Conversion Range'!$C$2:$C$35,MATCH(N$1,'Conversion Range'!$A$2:$A$35,0))),INDEX('Conversion Range'!$C$2:$C$35,MATCH(N$1,'Conversion Range'!$A$2:$A$35,0))+(('Legend Attributes'!N27-1)/19)*(INDEX('Conversion Range'!$D$2:$D$35,MATCH(N$1,'Conversion Range'!$A$2:$A$35,0))-INDEX('Conversion Range'!$C$2:$C$35,MATCH(N$1,'Conversion Range'!$A$2:$A$35,0)))),3))</f>
        <v>5.5529999999999999</v>
      </c>
      <c r="O27" s="15">
        <f>IF('Legend Attributes'!O27=0,0,ROUND(IF(INDEX('Conversion Range'!$E$2:$E$35,MATCH(O$1,'Conversion Range'!$A$2:$A$35,0))=1,INDEX('Conversion Range'!$D$2:$D$35,MATCH(O$1,'Conversion Range'!$A$2:$A$35,0))-(('Legend Attributes'!O27-1)/19)*(INDEX('Conversion Range'!$D$2:$D$35,MATCH(O$1,'Conversion Range'!$A$2:$A$35,0))-INDEX('Conversion Range'!$C$2:$C$35,MATCH(O$1,'Conversion Range'!$A$2:$A$35,0))),INDEX('Conversion Range'!$C$2:$C$35,MATCH(O$1,'Conversion Range'!$A$2:$A$35,0))+(('Legend Attributes'!O27-1)/19)*(INDEX('Conversion Range'!$D$2:$D$35,MATCH(O$1,'Conversion Range'!$A$2:$A$35,0))-INDEX('Conversion Range'!$C$2:$C$35,MATCH(O$1,'Conversion Range'!$A$2:$A$35,0)))),3))</f>
        <v>1.5680000000000001</v>
      </c>
      <c r="P27" s="15">
        <f>IF('Legend Attributes'!P27=0,0,ROUND(IF(INDEX('Conversion Range'!$E$2:$E$35,MATCH(P$1,'Conversion Range'!$A$2:$A$35,0))=1,INDEX('Conversion Range'!$D$2:$D$35,MATCH(P$1,'Conversion Range'!$A$2:$A$35,0))-(('Legend Attributes'!P27-1)/19)*(INDEX('Conversion Range'!$D$2:$D$35,MATCH(P$1,'Conversion Range'!$A$2:$A$35,0))-INDEX('Conversion Range'!$C$2:$C$35,MATCH(P$1,'Conversion Range'!$A$2:$A$35,0))),INDEX('Conversion Range'!$C$2:$C$35,MATCH(P$1,'Conversion Range'!$A$2:$A$35,0))+(('Legend Attributes'!P27-1)/19)*(INDEX('Conversion Range'!$D$2:$D$35,MATCH(P$1,'Conversion Range'!$A$2:$A$35,0))-INDEX('Conversion Range'!$C$2:$C$35,MATCH(P$1,'Conversion Range'!$A$2:$A$35,0)))),3))</f>
        <v>64.736999999999995</v>
      </c>
      <c r="Q27" s="15">
        <f>IF('Legend Attributes'!Q27=0,0,ROUND(IF(INDEX('Conversion Range'!$E$2:$E$35,MATCH(Q$1,'Conversion Range'!$A$2:$A$35,0))=1,INDEX('Conversion Range'!$D$2:$D$35,MATCH(Q$1,'Conversion Range'!$A$2:$A$35,0))-(('Legend Attributes'!Q27-1)/19)*(INDEX('Conversion Range'!$D$2:$D$35,MATCH(Q$1,'Conversion Range'!$A$2:$A$35,0))-INDEX('Conversion Range'!$C$2:$C$35,MATCH(Q$1,'Conversion Range'!$A$2:$A$35,0))),INDEX('Conversion Range'!$C$2:$C$35,MATCH(Q$1,'Conversion Range'!$A$2:$A$35,0))+(('Legend Attributes'!Q27-1)/19)*(INDEX('Conversion Range'!$D$2:$D$35,MATCH(Q$1,'Conversion Range'!$A$2:$A$35,0))-INDEX('Conversion Range'!$C$2:$C$35,MATCH(Q$1,'Conversion Range'!$A$2:$A$35,0)))),3))</f>
        <v>50.631999999999998</v>
      </c>
      <c r="R27" s="15">
        <f>IF('Legend Attributes'!R27=0,0,ROUND(IF(INDEX('Conversion Range'!$E$2:$E$35,MATCH(R$1,'Conversion Range'!$A$2:$A$35,0))=1,INDEX('Conversion Range'!$D$2:$D$35,MATCH(R$1,'Conversion Range'!$A$2:$A$35,0))-(('Legend Attributes'!R27-1)/19)*(INDEX('Conversion Range'!$D$2:$D$35,MATCH(R$1,'Conversion Range'!$A$2:$A$35,0))-INDEX('Conversion Range'!$C$2:$C$35,MATCH(R$1,'Conversion Range'!$A$2:$A$35,0))),INDEX('Conversion Range'!$C$2:$C$35,MATCH(R$1,'Conversion Range'!$A$2:$A$35,0))+(('Legend Attributes'!R27-1)/19)*(INDEX('Conversion Range'!$D$2:$D$35,MATCH(R$1,'Conversion Range'!$A$2:$A$35,0))-INDEX('Conversion Range'!$C$2:$C$35,MATCH(R$1,'Conversion Range'!$A$2:$A$35,0)))),3))</f>
        <v>80.263000000000005</v>
      </c>
      <c r="S27" s="15">
        <f>IF('Legend Attributes'!S27=0,0,ROUND(IF(INDEX('Conversion Range'!$E$2:$E$35,MATCH(S$1,'Conversion Range'!$A$2:$A$35,0))=1,INDEX('Conversion Range'!$D$2:$D$35,MATCH(S$1,'Conversion Range'!$A$2:$A$35,0))-(('Legend Attributes'!S27-1)/19)*(INDEX('Conversion Range'!$D$2:$D$35,MATCH(S$1,'Conversion Range'!$A$2:$A$35,0))-INDEX('Conversion Range'!$C$2:$C$35,MATCH(S$1,'Conversion Range'!$A$2:$A$35,0))),INDEX('Conversion Range'!$C$2:$C$35,MATCH(S$1,'Conversion Range'!$A$2:$A$35,0))+(('Legend Attributes'!S27-1)/19)*(INDEX('Conversion Range'!$D$2:$D$35,MATCH(S$1,'Conversion Range'!$A$2:$A$35,0))-INDEX('Conversion Range'!$C$2:$C$35,MATCH(S$1,'Conversion Range'!$A$2:$A$35,0)))),3))</f>
        <v>1.595</v>
      </c>
      <c r="T27" s="15">
        <f>IF('Legend Attributes'!T27=0,0,ROUND(IF(INDEX('Conversion Range'!$E$2:$E$35,MATCH(T$1,'Conversion Range'!$A$2:$A$35,0))=1,INDEX('Conversion Range'!$D$2:$D$35,MATCH(T$1,'Conversion Range'!$A$2:$A$35,0))-(('Legend Attributes'!T27-1)/19)*(INDEX('Conversion Range'!$D$2:$D$35,MATCH(T$1,'Conversion Range'!$A$2:$A$35,0))-INDEX('Conversion Range'!$C$2:$C$35,MATCH(T$1,'Conversion Range'!$A$2:$A$35,0))),INDEX('Conversion Range'!$C$2:$C$35,MATCH(T$1,'Conversion Range'!$A$2:$A$35,0))+(('Legend Attributes'!T27-1)/19)*(INDEX('Conversion Range'!$D$2:$D$35,MATCH(T$1,'Conversion Range'!$A$2:$A$35,0))-INDEX('Conversion Range'!$C$2:$C$35,MATCH(T$1,'Conversion Range'!$A$2:$A$35,0)))),3))</f>
        <v>38.579000000000001</v>
      </c>
      <c r="U27" s="15">
        <f>IF('Legend Attributes'!U27=0,0,ROUND(IF(INDEX('Conversion Range'!$E$2:$E$35,MATCH(U$1,'Conversion Range'!$A$2:$A$35,0))=1,INDEX('Conversion Range'!$D$2:$D$35,MATCH(U$1,'Conversion Range'!$A$2:$A$35,0))-(('Legend Attributes'!U27-1)/19)*(INDEX('Conversion Range'!$D$2:$D$35,MATCH(U$1,'Conversion Range'!$A$2:$A$35,0))-INDEX('Conversion Range'!$C$2:$C$35,MATCH(U$1,'Conversion Range'!$A$2:$A$35,0))),INDEX('Conversion Range'!$C$2:$C$35,MATCH(U$1,'Conversion Range'!$A$2:$A$35,0))+(('Legend Attributes'!U27-1)/19)*(INDEX('Conversion Range'!$D$2:$D$35,MATCH(U$1,'Conversion Range'!$A$2:$A$35,0))-INDEX('Conversion Range'!$C$2:$C$35,MATCH(U$1,'Conversion Range'!$A$2:$A$35,0)))),3))</f>
        <v>1.121</v>
      </c>
      <c r="V27" s="15">
        <f>IF('Legend Attributes'!V27=0,0,ROUND(IF(INDEX('Conversion Range'!$E$2:$E$35,MATCH(V$1,'Conversion Range'!$A$2:$A$35,0))=1,INDEX('Conversion Range'!$D$2:$D$35,MATCH(V$1,'Conversion Range'!$A$2:$A$35,0))-(('Legend Attributes'!V27-1)/19)*(INDEX('Conversion Range'!$D$2:$D$35,MATCH(V$1,'Conversion Range'!$A$2:$A$35,0))-INDEX('Conversion Range'!$C$2:$C$35,MATCH(V$1,'Conversion Range'!$A$2:$A$35,0))),INDEX('Conversion Range'!$C$2:$C$35,MATCH(V$1,'Conversion Range'!$A$2:$A$35,0))+(('Legend Attributes'!V27-1)/19)*(INDEX('Conversion Range'!$D$2:$D$35,MATCH(V$1,'Conversion Range'!$A$2:$A$35,0))-INDEX('Conversion Range'!$C$2:$C$35,MATCH(V$1,'Conversion Range'!$A$2:$A$35,0)))),3))</f>
        <v>41.841999999999999</v>
      </c>
      <c r="W27" s="15">
        <f>IF('Legend Attributes'!W27=0,0,ROUND(IF(INDEX('Conversion Range'!$E$2:$E$35,MATCH(W$1,'Conversion Range'!$A$2:$A$35,0))=1,INDEX('Conversion Range'!$D$2:$D$35,MATCH(W$1,'Conversion Range'!$A$2:$A$35,0))-(('Legend Attributes'!W27-1)/19)*(INDEX('Conversion Range'!$D$2:$D$35,MATCH(W$1,'Conversion Range'!$A$2:$A$35,0))-INDEX('Conversion Range'!$C$2:$C$35,MATCH(W$1,'Conversion Range'!$A$2:$A$35,0))),INDEX('Conversion Range'!$C$2:$C$35,MATCH(W$1,'Conversion Range'!$A$2:$A$35,0))+(('Legend Attributes'!W27-1)/19)*(INDEX('Conversion Range'!$D$2:$D$35,MATCH(W$1,'Conversion Range'!$A$2:$A$35,0))-INDEX('Conversion Range'!$C$2:$C$35,MATCH(W$1,'Conversion Range'!$A$2:$A$35,0)))),3))</f>
        <v>0.26300000000000001</v>
      </c>
      <c r="X27" s="15">
        <f>IF('Legend Attributes'!X27=0,0,ROUND(IF(INDEX('Conversion Range'!$E$2:$E$35,MATCH(X$1,'Conversion Range'!$A$2:$A$35,0))=1,INDEX('Conversion Range'!$D$2:$D$35,MATCH(X$1,'Conversion Range'!$A$2:$A$35,0))-(('Legend Attributes'!X27-1)/19)*(INDEX('Conversion Range'!$D$2:$D$35,MATCH(X$1,'Conversion Range'!$A$2:$A$35,0))-INDEX('Conversion Range'!$C$2:$C$35,MATCH(X$1,'Conversion Range'!$A$2:$A$35,0))),INDEX('Conversion Range'!$C$2:$C$35,MATCH(X$1,'Conversion Range'!$A$2:$A$35,0))+(('Legend Attributes'!X27-1)/19)*(INDEX('Conversion Range'!$D$2:$D$35,MATCH(X$1,'Conversion Range'!$A$2:$A$35,0))-INDEX('Conversion Range'!$C$2:$C$35,MATCH(X$1,'Conversion Range'!$A$2:$A$35,0)))),3))</f>
        <v>0.57899999999999996</v>
      </c>
      <c r="Y27" s="15">
        <f>IF('Legend Attributes'!Y27=0,0,ROUND(IF(INDEX('Conversion Range'!$E$2:$E$35,MATCH(Y$1,'Conversion Range'!$A$2:$A$35,0))=1,INDEX('Conversion Range'!$D$2:$D$35,MATCH(Y$1,'Conversion Range'!$A$2:$A$35,0))-(('Legend Attributes'!Y27-1)/19)*(INDEX('Conversion Range'!$D$2:$D$35,MATCH(Y$1,'Conversion Range'!$A$2:$A$35,0))-INDEX('Conversion Range'!$C$2:$C$35,MATCH(Y$1,'Conversion Range'!$A$2:$A$35,0))),INDEX('Conversion Range'!$C$2:$C$35,MATCH(Y$1,'Conversion Range'!$A$2:$A$35,0))+(('Legend Attributes'!Y27-1)/19)*(INDEX('Conversion Range'!$D$2:$D$35,MATCH(Y$1,'Conversion Range'!$A$2:$A$35,0))-INDEX('Conversion Range'!$C$2:$C$35,MATCH(Y$1,'Conversion Range'!$A$2:$A$35,0)))),3))</f>
        <v>0.33200000000000002</v>
      </c>
      <c r="Z27" s="15">
        <f>IF('Legend Attributes'!Z27=0,0,ROUND(IF(INDEX('Conversion Range'!$E$2:$E$35,MATCH(Z$1,'Conversion Range'!$A$2:$A$35,0))=1,INDEX('Conversion Range'!$D$2:$D$35,MATCH(Z$1,'Conversion Range'!$A$2:$A$35,0))-(('Legend Attributes'!Z27-1)/19)*(INDEX('Conversion Range'!$D$2:$D$35,MATCH(Z$1,'Conversion Range'!$A$2:$A$35,0))-INDEX('Conversion Range'!$C$2:$C$35,MATCH(Z$1,'Conversion Range'!$A$2:$A$35,0))),INDEX('Conversion Range'!$C$2:$C$35,MATCH(Z$1,'Conversion Range'!$A$2:$A$35,0))+(('Legend Attributes'!Z27-1)/19)*(INDEX('Conversion Range'!$D$2:$D$35,MATCH(Z$1,'Conversion Range'!$A$2:$A$35,0))-INDEX('Conversion Range'!$C$2:$C$35,MATCH(Z$1,'Conversion Range'!$A$2:$A$35,0)))),3))</f>
        <v>8.7629999999999999</v>
      </c>
      <c r="AA27" s="15">
        <f>IF('Legend Attributes'!AA27=0,0,ROUND(IF(INDEX('Conversion Range'!$E$2:$E$35,MATCH(AA$1,'Conversion Range'!$A$2:$A$35,0))=1,INDEX('Conversion Range'!$D$2:$D$35,MATCH(AA$1,'Conversion Range'!$A$2:$A$35,0))-(('Legend Attributes'!AA27-1)/19)*(INDEX('Conversion Range'!$D$2:$D$35,MATCH(AA$1,'Conversion Range'!$A$2:$A$35,0))-INDEX('Conversion Range'!$C$2:$C$35,MATCH(AA$1,'Conversion Range'!$A$2:$A$35,0))),INDEX('Conversion Range'!$C$2:$C$35,MATCH(AA$1,'Conversion Range'!$A$2:$A$35,0))+(('Legend Attributes'!AA27-1)/19)*(INDEX('Conversion Range'!$D$2:$D$35,MATCH(AA$1,'Conversion Range'!$A$2:$A$35,0))-INDEX('Conversion Range'!$C$2:$C$35,MATCH(AA$1,'Conversion Range'!$A$2:$A$35,0)))),3))</f>
        <v>7.3999999999999996E-2</v>
      </c>
      <c r="AB27" s="15">
        <f>IF('Legend Attributes'!AB27=0,0,ROUND(IF(INDEX('Conversion Range'!$E$2:$E$35,MATCH(AB$1,'Conversion Range'!$A$2:$A$35,0))=1,INDEX('Conversion Range'!$D$2:$D$35,MATCH(AB$1,'Conversion Range'!$A$2:$A$35,0))-(('Legend Attributes'!AB27-1)/19)*(INDEX('Conversion Range'!$D$2:$D$35,MATCH(AB$1,'Conversion Range'!$A$2:$A$35,0))-INDEX('Conversion Range'!$C$2:$C$35,MATCH(AB$1,'Conversion Range'!$A$2:$A$35,0))),INDEX('Conversion Range'!$C$2:$C$35,MATCH(AB$1,'Conversion Range'!$A$2:$A$35,0))+(('Legend Attributes'!AB27-1)/19)*(INDEX('Conversion Range'!$D$2:$D$35,MATCH(AB$1,'Conversion Range'!$A$2:$A$35,0))-INDEX('Conversion Range'!$C$2:$C$35,MATCH(AB$1,'Conversion Range'!$A$2:$A$35,0)))),3))</f>
        <v>0.57099999999999995</v>
      </c>
      <c r="AC27" s="15">
        <f>IF('Legend Attributes'!AC27=0,0,ROUND(IF(INDEX('Conversion Range'!$E$2:$E$35,MATCH(AC$1,'Conversion Range'!$A$2:$A$35,0))=1,INDEX('Conversion Range'!$D$2:$D$35,MATCH(AC$1,'Conversion Range'!$A$2:$A$35,0))-(('Legend Attributes'!AC27-1)/19)*(INDEX('Conversion Range'!$D$2:$D$35,MATCH(AC$1,'Conversion Range'!$A$2:$A$35,0))-INDEX('Conversion Range'!$C$2:$C$35,MATCH(AC$1,'Conversion Range'!$A$2:$A$35,0))),INDEX('Conversion Range'!$C$2:$C$35,MATCH(AC$1,'Conversion Range'!$A$2:$A$35,0))+(('Legend Attributes'!AC27-1)/19)*(INDEX('Conversion Range'!$D$2:$D$35,MATCH(AC$1,'Conversion Range'!$A$2:$A$35,0))-INDEX('Conversion Range'!$C$2:$C$35,MATCH(AC$1,'Conversion Range'!$A$2:$A$35,0)))),3))</f>
        <v>0.30399999999999999</v>
      </c>
      <c r="AD27" s="15">
        <f>IF('Legend Attributes'!AD27=0,0,ROUND(IF(INDEX('Conversion Range'!$E$2:$E$35,MATCH(AD$1,'Conversion Range'!$A$2:$A$35,0))=1,INDEX('Conversion Range'!$D$2:$D$35,MATCH(AD$1,'Conversion Range'!$A$2:$A$35,0))-(('Legend Attributes'!AD27-1)/19)*(INDEX('Conversion Range'!$D$2:$D$35,MATCH(AD$1,'Conversion Range'!$A$2:$A$35,0))-INDEX('Conversion Range'!$C$2:$C$35,MATCH(AD$1,'Conversion Range'!$A$2:$A$35,0))),INDEX('Conversion Range'!$C$2:$C$35,MATCH(AD$1,'Conversion Range'!$A$2:$A$35,0))+(('Legend Attributes'!AD27-1)/19)*(INDEX('Conversion Range'!$D$2:$D$35,MATCH(AD$1,'Conversion Range'!$A$2:$A$35,0))-INDEX('Conversion Range'!$C$2:$C$35,MATCH(AD$1,'Conversion Range'!$A$2:$A$35,0)))),3))</f>
        <v>0</v>
      </c>
      <c r="AE27" s="15">
        <f>IF('Legend Attributes'!AE27=0,0,ROUND(IF(INDEX('Conversion Range'!$E$2:$E$35,MATCH(AE$1,'Conversion Range'!$A$2:$A$35,0))=1,INDEX('Conversion Range'!$D$2:$D$35,MATCH(AE$1,'Conversion Range'!$A$2:$A$35,0))-(('Legend Attributes'!AE27-1)/19)*(INDEX('Conversion Range'!$D$2:$D$35,MATCH(AE$1,'Conversion Range'!$A$2:$A$35,0))-INDEX('Conversion Range'!$C$2:$C$35,MATCH(AE$1,'Conversion Range'!$A$2:$A$35,0))),INDEX('Conversion Range'!$C$2:$C$35,MATCH(AE$1,'Conversion Range'!$A$2:$A$35,0))+(('Legend Attributes'!AE27-1)/19)*(INDEX('Conversion Range'!$D$2:$D$35,MATCH(AE$1,'Conversion Range'!$A$2:$A$35,0))-INDEX('Conversion Range'!$C$2:$C$35,MATCH(AE$1,'Conversion Range'!$A$2:$A$35,0)))),3))</f>
        <v>0</v>
      </c>
      <c r="AF27" s="15">
        <f>IF('Legend Attributes'!AF27=0,0,ROUND(IF(INDEX('Conversion Range'!$E$2:$E$35,MATCH(AF$1,'Conversion Range'!$A$2:$A$35,0))=1,INDEX('Conversion Range'!$D$2:$D$35,MATCH(AF$1,'Conversion Range'!$A$2:$A$35,0))-(('Legend Attributes'!AF27-1)/19)*(INDEX('Conversion Range'!$D$2:$D$35,MATCH(AF$1,'Conversion Range'!$A$2:$A$35,0))-INDEX('Conversion Range'!$C$2:$C$35,MATCH(AF$1,'Conversion Range'!$A$2:$A$35,0))),INDEX('Conversion Range'!$C$2:$C$35,MATCH(AF$1,'Conversion Range'!$A$2:$A$35,0))+(('Legend Attributes'!AF27-1)/19)*(INDEX('Conversion Range'!$D$2:$D$35,MATCH(AF$1,'Conversion Range'!$A$2:$A$35,0))-INDEX('Conversion Range'!$C$2:$C$35,MATCH(AF$1,'Conversion Range'!$A$2:$A$35,0)))),3))</f>
        <v>0</v>
      </c>
      <c r="AG27" s="15">
        <f>IF('Legend Attributes'!AG27=0,0,ROUND(IF(INDEX('Conversion Range'!$E$2:$E$35,MATCH(AG$1,'Conversion Range'!$A$2:$A$35,0))=1,INDEX('Conversion Range'!$D$2:$D$35,MATCH(AG$1,'Conversion Range'!$A$2:$A$35,0))-(('Legend Attributes'!AG27-1)/19)*(INDEX('Conversion Range'!$D$2:$D$35,MATCH(AG$1,'Conversion Range'!$A$2:$A$35,0))-INDEX('Conversion Range'!$C$2:$C$35,MATCH(AG$1,'Conversion Range'!$A$2:$A$35,0))),INDEX('Conversion Range'!$C$2:$C$35,MATCH(AG$1,'Conversion Range'!$A$2:$A$35,0))+(('Legend Attributes'!AG27-1)/19)*(INDEX('Conversion Range'!$D$2:$D$35,MATCH(AG$1,'Conversion Range'!$A$2:$A$35,0))-INDEX('Conversion Range'!$C$2:$C$35,MATCH(AG$1,'Conversion Range'!$A$2:$A$35,0)))),3))</f>
        <v>1.1319999999999999</v>
      </c>
      <c r="AH27" s="15">
        <f>IF('Legend Attributes'!AH27=0,0,ROUND(IF(INDEX('Conversion Range'!$E$2:$E$35,MATCH(AH$1,'Conversion Range'!$A$2:$A$35,0))=1,INDEX('Conversion Range'!$D$2:$D$35,MATCH(AH$1,'Conversion Range'!$A$2:$A$35,0))-(('Legend Attributes'!AH27-1)/19)*(INDEX('Conversion Range'!$D$2:$D$35,MATCH(AH$1,'Conversion Range'!$A$2:$A$35,0))-INDEX('Conversion Range'!$C$2:$C$35,MATCH(AH$1,'Conversion Range'!$A$2:$A$35,0))),INDEX('Conversion Range'!$C$2:$C$35,MATCH(AH$1,'Conversion Range'!$A$2:$A$35,0))+(('Legend Attributes'!AH27-1)/19)*(INDEX('Conversion Range'!$D$2:$D$35,MATCH(AH$1,'Conversion Range'!$A$2:$A$35,0))-INDEX('Conversion Range'!$C$2:$C$35,MATCH(AH$1,'Conversion Range'!$A$2:$A$35,0)))),3))</f>
        <v>0.156</v>
      </c>
      <c r="AI27" s="15">
        <f>IF('Legend Attributes'!AI27=0,0,ROUND(IF(INDEX('Conversion Range'!$E$2:$E$35,MATCH(AI$1,'Conversion Range'!$A$2:$A$35,0))=1,INDEX('Conversion Range'!$D$2:$D$35,MATCH(AI$1,'Conversion Range'!$A$2:$A$35,0))-(('Legend Attributes'!AI27-1)/19)*(INDEX('Conversion Range'!$D$2:$D$35,MATCH(AI$1,'Conversion Range'!$A$2:$A$35,0))-INDEX('Conversion Range'!$C$2:$C$35,MATCH(AI$1,'Conversion Range'!$A$2:$A$35,0))),INDEX('Conversion Range'!$C$2:$C$35,MATCH(AI$1,'Conversion Range'!$A$2:$A$35,0))+(('Legend Attributes'!AI27-1)/19)*(INDEX('Conversion Range'!$D$2:$D$35,MATCH(AI$1,'Conversion Range'!$A$2:$A$35,0))-INDEX('Conversion Range'!$C$2:$C$35,MATCH(AI$1,'Conversion Range'!$A$2:$A$35,0)))),3))</f>
        <v>4.3999999999999997E-2</v>
      </c>
      <c r="AJ27" s="15">
        <f>IF('Legend Attributes'!AJ27=0,0,ROUND(IF(INDEX('Conversion Range'!$E$2:$E$35,MATCH(AJ$1,'Conversion Range'!$A$2:$A$35,0))=1,INDEX('Conversion Range'!$D$2:$D$35,MATCH(AJ$1,'Conversion Range'!$A$2:$A$35,0))-(('Legend Attributes'!AJ27-1)/19)*(INDEX('Conversion Range'!$D$2:$D$35,MATCH(AJ$1,'Conversion Range'!$A$2:$A$35,0))-INDEX('Conversion Range'!$C$2:$C$35,MATCH(AJ$1,'Conversion Range'!$A$2:$A$35,0))),INDEX('Conversion Range'!$C$2:$C$35,MATCH(AJ$1,'Conversion Range'!$A$2:$A$35,0))+(('Legend Attributes'!AJ27-1)/19)*(INDEX('Conversion Range'!$D$2:$D$35,MATCH(AJ$1,'Conversion Range'!$A$2:$A$35,0))-INDEX('Conversion Range'!$C$2:$C$35,MATCH(AJ$1,'Conversion Range'!$A$2:$A$35,0)))),3))</f>
        <v>7.726</v>
      </c>
    </row>
    <row r="28" spans="1:36" x14ac:dyDescent="0.35">
      <c r="A28" s="14" t="str">
        <f>'Legend Attributes'!A28</f>
        <v>Ramires</v>
      </c>
      <c r="B28" s="15" t="str">
        <f>'Legend Attributes'!B28</f>
        <v>CM</v>
      </c>
      <c r="C28" s="15">
        <f>IF('Legend Attributes'!C28=0,0,ROUND(IF(INDEX('Conversion Range'!$E$2:$E$35,MATCH(C$1,'Conversion Range'!$A$2:$A$35,0))=1,INDEX('Conversion Range'!$D$2:$D$35,MATCH(C$1,'Conversion Range'!$A$2:$A$35,0))-(('Legend Attributes'!C28-1)/19)*(INDEX('Conversion Range'!$D$2:$D$35,MATCH(C$1,'Conversion Range'!$A$2:$A$35,0))-INDEX('Conversion Range'!$C$2:$C$35,MATCH(C$1,'Conversion Range'!$A$2:$A$35,0))),INDEX('Conversion Range'!$C$2:$C$35,MATCH(C$1,'Conversion Range'!$A$2:$A$35,0))+(('Legend Attributes'!C28-1)/19)*(INDEX('Conversion Range'!$D$2:$D$35,MATCH(C$1,'Conversion Range'!$A$2:$A$35,0))-INDEX('Conversion Range'!$C$2:$C$35,MATCH(C$1,'Conversion Range'!$A$2:$A$35,0)))),3))</f>
        <v>0.32600000000000001</v>
      </c>
      <c r="D28" s="15">
        <f>IF('Legend Attributes'!D28=0,0,ROUND(IF(INDEX('Conversion Range'!$E$2:$E$35,MATCH(D$1,'Conversion Range'!$A$2:$A$35,0))=1,INDEX('Conversion Range'!$D$2:$D$35,MATCH(D$1,'Conversion Range'!$A$2:$A$35,0))-(('Legend Attributes'!D28-1)/19)*(INDEX('Conversion Range'!$D$2:$D$35,MATCH(D$1,'Conversion Range'!$A$2:$A$35,0))-INDEX('Conversion Range'!$C$2:$C$35,MATCH(D$1,'Conversion Range'!$A$2:$A$35,0))),INDEX('Conversion Range'!$C$2:$C$35,MATCH(D$1,'Conversion Range'!$A$2:$A$35,0))+(('Legend Attributes'!D28-1)/19)*(INDEX('Conversion Range'!$D$2:$D$35,MATCH(D$1,'Conversion Range'!$A$2:$A$35,0))-INDEX('Conversion Range'!$C$2:$C$35,MATCH(D$1,'Conversion Range'!$A$2:$A$35,0)))),3))</f>
        <v>0.28899999999999998</v>
      </c>
      <c r="E28" s="15">
        <f>IF('Legend Attributes'!E28=0,0,ROUND(IF(INDEX('Conversion Range'!$E$2:$E$35,MATCH(E$1,'Conversion Range'!$A$2:$A$35,0))=1,INDEX('Conversion Range'!$D$2:$D$35,MATCH(E$1,'Conversion Range'!$A$2:$A$35,0))-(('Legend Attributes'!E28-1)/19)*(INDEX('Conversion Range'!$D$2:$D$35,MATCH(E$1,'Conversion Range'!$A$2:$A$35,0))-INDEX('Conversion Range'!$C$2:$C$35,MATCH(E$1,'Conversion Range'!$A$2:$A$35,0))),INDEX('Conversion Range'!$C$2:$C$35,MATCH(E$1,'Conversion Range'!$A$2:$A$35,0))+(('Legend Attributes'!E28-1)/19)*(INDEX('Conversion Range'!$D$2:$D$35,MATCH(E$1,'Conversion Range'!$A$2:$A$35,0))-INDEX('Conversion Range'!$C$2:$C$35,MATCH(E$1,'Conversion Range'!$A$2:$A$35,0)))),3))</f>
        <v>0.18099999999999999</v>
      </c>
      <c r="F28" s="15">
        <f>IF('Legend Attributes'!F28=0,0,ROUND(IF(INDEX('Conversion Range'!$E$2:$E$35,MATCH(F$1,'Conversion Range'!$A$2:$A$35,0))=1,INDEX('Conversion Range'!$D$2:$D$35,MATCH(F$1,'Conversion Range'!$A$2:$A$35,0))-(('Legend Attributes'!F28-1)/19)*(INDEX('Conversion Range'!$D$2:$D$35,MATCH(F$1,'Conversion Range'!$A$2:$A$35,0))-INDEX('Conversion Range'!$C$2:$C$35,MATCH(F$1,'Conversion Range'!$A$2:$A$35,0))),INDEX('Conversion Range'!$C$2:$C$35,MATCH(F$1,'Conversion Range'!$A$2:$A$35,0))+(('Legend Attributes'!F28-1)/19)*(INDEX('Conversion Range'!$D$2:$D$35,MATCH(F$1,'Conversion Range'!$A$2:$A$35,0))-INDEX('Conversion Range'!$C$2:$C$35,MATCH(F$1,'Conversion Range'!$A$2:$A$35,0)))),3))</f>
        <v>1.7709999999999999</v>
      </c>
      <c r="G28" s="15">
        <f>IF('Legend Attributes'!G28=0,0,ROUND(IF(INDEX('Conversion Range'!$E$2:$E$35,MATCH(G$1,'Conversion Range'!$A$2:$A$35,0))=1,INDEX('Conversion Range'!$D$2:$D$35,MATCH(G$1,'Conversion Range'!$A$2:$A$35,0))-(('Legend Attributes'!G28-1)/19)*(INDEX('Conversion Range'!$D$2:$D$35,MATCH(G$1,'Conversion Range'!$A$2:$A$35,0))-INDEX('Conversion Range'!$C$2:$C$35,MATCH(G$1,'Conversion Range'!$A$2:$A$35,0))),INDEX('Conversion Range'!$C$2:$C$35,MATCH(G$1,'Conversion Range'!$A$2:$A$35,0))+(('Legend Attributes'!G28-1)/19)*(INDEX('Conversion Range'!$D$2:$D$35,MATCH(G$1,'Conversion Range'!$A$2:$A$35,0))-INDEX('Conversion Range'!$C$2:$C$35,MATCH(G$1,'Conversion Range'!$A$2:$A$35,0)))),3))</f>
        <v>0.89800000000000002</v>
      </c>
      <c r="H28" s="15">
        <f>IF('Legend Attributes'!H28=0,0,ROUND(IF(INDEX('Conversion Range'!$E$2:$E$35,MATCH(H$1,'Conversion Range'!$A$2:$A$35,0))=1,INDEX('Conversion Range'!$D$2:$D$35,MATCH(H$1,'Conversion Range'!$A$2:$A$35,0))-(('Legend Attributes'!H28-1)/19)*(INDEX('Conversion Range'!$D$2:$D$35,MATCH(H$1,'Conversion Range'!$A$2:$A$35,0))-INDEX('Conversion Range'!$C$2:$C$35,MATCH(H$1,'Conversion Range'!$A$2:$A$35,0))),INDEX('Conversion Range'!$C$2:$C$35,MATCH(H$1,'Conversion Range'!$A$2:$A$35,0))+(('Legend Attributes'!H28-1)/19)*(INDEX('Conversion Range'!$D$2:$D$35,MATCH(H$1,'Conversion Range'!$A$2:$A$35,0))-INDEX('Conversion Range'!$C$2:$C$35,MATCH(H$1,'Conversion Range'!$A$2:$A$35,0)))),3))</f>
        <v>0.158</v>
      </c>
      <c r="I28" s="15">
        <f>IF('Legend Attributes'!I28=0,0,ROUND(IF(INDEX('Conversion Range'!$E$2:$E$35,MATCH(I$1,'Conversion Range'!$A$2:$A$35,0))=1,INDEX('Conversion Range'!$D$2:$D$35,MATCH(I$1,'Conversion Range'!$A$2:$A$35,0))-(('Legend Attributes'!I28-1)/19)*(INDEX('Conversion Range'!$D$2:$D$35,MATCH(I$1,'Conversion Range'!$A$2:$A$35,0))-INDEX('Conversion Range'!$C$2:$C$35,MATCH(I$1,'Conversion Range'!$A$2:$A$35,0))),INDEX('Conversion Range'!$C$2:$C$35,MATCH(I$1,'Conversion Range'!$A$2:$A$35,0))+(('Legend Attributes'!I28-1)/19)*(INDEX('Conversion Range'!$D$2:$D$35,MATCH(I$1,'Conversion Range'!$A$2:$A$35,0))-INDEX('Conversion Range'!$C$2:$C$35,MATCH(I$1,'Conversion Range'!$A$2:$A$35,0)))),3))</f>
        <v>1.153</v>
      </c>
      <c r="J28" s="15">
        <f>IF('Legend Attributes'!J28=0,0,ROUND(IF(INDEX('Conversion Range'!$E$2:$E$35,MATCH(J$1,'Conversion Range'!$A$2:$A$35,0))=1,INDEX('Conversion Range'!$D$2:$D$35,MATCH(J$1,'Conversion Range'!$A$2:$A$35,0))-(('Legend Attributes'!J28-1)/19)*(INDEX('Conversion Range'!$D$2:$D$35,MATCH(J$1,'Conversion Range'!$A$2:$A$35,0))-INDEX('Conversion Range'!$C$2:$C$35,MATCH(J$1,'Conversion Range'!$A$2:$A$35,0))),INDEX('Conversion Range'!$C$2:$C$35,MATCH(J$1,'Conversion Range'!$A$2:$A$35,0))+(('Legend Attributes'!J28-1)/19)*(INDEX('Conversion Range'!$D$2:$D$35,MATCH(J$1,'Conversion Range'!$A$2:$A$35,0))-INDEX('Conversion Range'!$C$2:$C$35,MATCH(J$1,'Conversion Range'!$A$2:$A$35,0)))),3))</f>
        <v>2.6469999999999998</v>
      </c>
      <c r="K28" s="15">
        <f>IF('Legend Attributes'!K28=0,0,ROUND(IF(INDEX('Conversion Range'!$E$2:$E$35,MATCH(K$1,'Conversion Range'!$A$2:$A$35,0))=1,INDEX('Conversion Range'!$D$2:$D$35,MATCH(K$1,'Conversion Range'!$A$2:$A$35,0))-(('Legend Attributes'!K28-1)/19)*(INDEX('Conversion Range'!$D$2:$D$35,MATCH(K$1,'Conversion Range'!$A$2:$A$35,0))-INDEX('Conversion Range'!$C$2:$C$35,MATCH(K$1,'Conversion Range'!$A$2:$A$35,0))),INDEX('Conversion Range'!$C$2:$C$35,MATCH(K$1,'Conversion Range'!$A$2:$A$35,0))+(('Legend Attributes'!K28-1)/19)*(INDEX('Conversion Range'!$D$2:$D$35,MATCH(K$1,'Conversion Range'!$A$2:$A$35,0))-INDEX('Conversion Range'!$C$2:$C$35,MATCH(K$1,'Conversion Range'!$A$2:$A$35,0)))),3))</f>
        <v>1.605</v>
      </c>
      <c r="L28" s="15">
        <f>IF('Legend Attributes'!L28=0,0,ROUND(IF(INDEX('Conversion Range'!$E$2:$E$35,MATCH(L$1,'Conversion Range'!$A$2:$A$35,0))=1,INDEX('Conversion Range'!$D$2:$D$35,MATCH(L$1,'Conversion Range'!$A$2:$A$35,0))-(('Legend Attributes'!L28-1)/19)*(INDEX('Conversion Range'!$D$2:$D$35,MATCH(L$1,'Conversion Range'!$A$2:$A$35,0))-INDEX('Conversion Range'!$C$2:$C$35,MATCH(L$1,'Conversion Range'!$A$2:$A$35,0))),INDEX('Conversion Range'!$C$2:$C$35,MATCH(L$1,'Conversion Range'!$A$2:$A$35,0))+(('Legend Attributes'!L28-1)/19)*(INDEX('Conversion Range'!$D$2:$D$35,MATCH(L$1,'Conversion Range'!$A$2:$A$35,0))-INDEX('Conversion Range'!$C$2:$C$35,MATCH(L$1,'Conversion Range'!$A$2:$A$35,0)))),3))</f>
        <v>1.6319999999999999</v>
      </c>
      <c r="M28" s="15">
        <f>IF('Legend Attributes'!M28=0,0,ROUND(IF(INDEX('Conversion Range'!$E$2:$E$35,MATCH(M$1,'Conversion Range'!$A$2:$A$35,0))=1,INDEX('Conversion Range'!$D$2:$D$35,MATCH(M$1,'Conversion Range'!$A$2:$A$35,0))-(('Legend Attributes'!M28-1)/19)*(INDEX('Conversion Range'!$D$2:$D$35,MATCH(M$1,'Conversion Range'!$A$2:$A$35,0))-INDEX('Conversion Range'!$C$2:$C$35,MATCH(M$1,'Conversion Range'!$A$2:$A$35,0))),INDEX('Conversion Range'!$C$2:$C$35,MATCH(M$1,'Conversion Range'!$A$2:$A$35,0))+(('Legend Attributes'!M28-1)/19)*(INDEX('Conversion Range'!$D$2:$D$35,MATCH(M$1,'Conversion Range'!$A$2:$A$35,0))-INDEX('Conversion Range'!$C$2:$C$35,MATCH(M$1,'Conversion Range'!$A$2:$A$35,0)))),3))</f>
        <v>0.58899999999999997</v>
      </c>
      <c r="N28" s="15">
        <f>IF('Legend Attributes'!N28=0,0,ROUND(IF(INDEX('Conversion Range'!$E$2:$E$35,MATCH(N$1,'Conversion Range'!$A$2:$A$35,0))=1,INDEX('Conversion Range'!$D$2:$D$35,MATCH(N$1,'Conversion Range'!$A$2:$A$35,0))-(('Legend Attributes'!N28-1)/19)*(INDEX('Conversion Range'!$D$2:$D$35,MATCH(N$1,'Conversion Range'!$A$2:$A$35,0))-INDEX('Conversion Range'!$C$2:$C$35,MATCH(N$1,'Conversion Range'!$A$2:$A$35,0))),INDEX('Conversion Range'!$C$2:$C$35,MATCH(N$1,'Conversion Range'!$A$2:$A$35,0))+(('Legend Attributes'!N28-1)/19)*(INDEX('Conversion Range'!$D$2:$D$35,MATCH(N$1,'Conversion Range'!$A$2:$A$35,0))-INDEX('Conversion Range'!$C$2:$C$35,MATCH(N$1,'Conversion Range'!$A$2:$A$35,0)))),3))</f>
        <v>8.3160000000000007</v>
      </c>
      <c r="O28" s="15">
        <f>IF('Legend Attributes'!O28=0,0,ROUND(IF(INDEX('Conversion Range'!$E$2:$E$35,MATCH(O$1,'Conversion Range'!$A$2:$A$35,0))=1,INDEX('Conversion Range'!$D$2:$D$35,MATCH(O$1,'Conversion Range'!$A$2:$A$35,0))-(('Legend Attributes'!O28-1)/19)*(INDEX('Conversion Range'!$D$2:$D$35,MATCH(O$1,'Conversion Range'!$A$2:$A$35,0))-INDEX('Conversion Range'!$C$2:$C$35,MATCH(O$1,'Conversion Range'!$A$2:$A$35,0))),INDEX('Conversion Range'!$C$2:$C$35,MATCH(O$1,'Conversion Range'!$A$2:$A$35,0))+(('Legend Attributes'!O28-1)/19)*(INDEX('Conversion Range'!$D$2:$D$35,MATCH(O$1,'Conversion Range'!$A$2:$A$35,0))-INDEX('Conversion Range'!$C$2:$C$35,MATCH(O$1,'Conversion Range'!$A$2:$A$35,0)))),3))</f>
        <v>1.242</v>
      </c>
      <c r="P28" s="15">
        <f>IF('Legend Attributes'!P28=0,0,ROUND(IF(INDEX('Conversion Range'!$E$2:$E$35,MATCH(P$1,'Conversion Range'!$A$2:$A$35,0))=1,INDEX('Conversion Range'!$D$2:$D$35,MATCH(P$1,'Conversion Range'!$A$2:$A$35,0))-(('Legend Attributes'!P28-1)/19)*(INDEX('Conversion Range'!$D$2:$D$35,MATCH(P$1,'Conversion Range'!$A$2:$A$35,0))-INDEX('Conversion Range'!$C$2:$C$35,MATCH(P$1,'Conversion Range'!$A$2:$A$35,0))),INDEX('Conversion Range'!$C$2:$C$35,MATCH(P$1,'Conversion Range'!$A$2:$A$35,0))+(('Legend Attributes'!P28-1)/19)*(INDEX('Conversion Range'!$D$2:$D$35,MATCH(P$1,'Conversion Range'!$A$2:$A$35,0))-INDEX('Conversion Range'!$C$2:$C$35,MATCH(P$1,'Conversion Range'!$A$2:$A$35,0)))),3))</f>
        <v>56.052999999999997</v>
      </c>
      <c r="Q28" s="15">
        <f>IF('Legend Attributes'!Q28=0,0,ROUND(IF(INDEX('Conversion Range'!$E$2:$E$35,MATCH(Q$1,'Conversion Range'!$A$2:$A$35,0))=1,INDEX('Conversion Range'!$D$2:$D$35,MATCH(Q$1,'Conversion Range'!$A$2:$A$35,0))-(('Legend Attributes'!Q28-1)/19)*(INDEX('Conversion Range'!$D$2:$D$35,MATCH(Q$1,'Conversion Range'!$A$2:$A$35,0))-INDEX('Conversion Range'!$C$2:$C$35,MATCH(Q$1,'Conversion Range'!$A$2:$A$35,0))),INDEX('Conversion Range'!$C$2:$C$35,MATCH(Q$1,'Conversion Range'!$A$2:$A$35,0))+(('Legend Attributes'!Q28-1)/19)*(INDEX('Conversion Range'!$D$2:$D$35,MATCH(Q$1,'Conversion Range'!$A$2:$A$35,0))-INDEX('Conversion Range'!$C$2:$C$35,MATCH(Q$1,'Conversion Range'!$A$2:$A$35,0)))),3))</f>
        <v>55.841999999999999</v>
      </c>
      <c r="R28" s="15">
        <f>IF('Legend Attributes'!R28=0,0,ROUND(IF(INDEX('Conversion Range'!$E$2:$E$35,MATCH(R$1,'Conversion Range'!$A$2:$A$35,0))=1,INDEX('Conversion Range'!$D$2:$D$35,MATCH(R$1,'Conversion Range'!$A$2:$A$35,0))-(('Legend Attributes'!R28-1)/19)*(INDEX('Conversion Range'!$D$2:$D$35,MATCH(R$1,'Conversion Range'!$A$2:$A$35,0))-INDEX('Conversion Range'!$C$2:$C$35,MATCH(R$1,'Conversion Range'!$A$2:$A$35,0))),INDEX('Conversion Range'!$C$2:$C$35,MATCH(R$1,'Conversion Range'!$A$2:$A$35,0))+(('Legend Attributes'!R28-1)/19)*(INDEX('Conversion Range'!$D$2:$D$35,MATCH(R$1,'Conversion Range'!$A$2:$A$35,0))-INDEX('Conversion Range'!$C$2:$C$35,MATCH(R$1,'Conversion Range'!$A$2:$A$35,0)))),3))</f>
        <v>76.052999999999997</v>
      </c>
      <c r="S28" s="15">
        <f>IF('Legend Attributes'!S28=0,0,ROUND(IF(INDEX('Conversion Range'!$E$2:$E$35,MATCH(S$1,'Conversion Range'!$A$2:$A$35,0))=1,INDEX('Conversion Range'!$D$2:$D$35,MATCH(S$1,'Conversion Range'!$A$2:$A$35,0))-(('Legend Attributes'!S28-1)/19)*(INDEX('Conversion Range'!$D$2:$D$35,MATCH(S$1,'Conversion Range'!$A$2:$A$35,0))-INDEX('Conversion Range'!$C$2:$C$35,MATCH(S$1,'Conversion Range'!$A$2:$A$35,0))),INDEX('Conversion Range'!$C$2:$C$35,MATCH(S$1,'Conversion Range'!$A$2:$A$35,0))+(('Legend Attributes'!S28-1)/19)*(INDEX('Conversion Range'!$D$2:$D$35,MATCH(S$1,'Conversion Range'!$A$2:$A$35,0))-INDEX('Conversion Range'!$C$2:$C$35,MATCH(S$1,'Conversion Range'!$A$2:$A$35,0)))),3))</f>
        <v>2.4580000000000002</v>
      </c>
      <c r="T28" s="15">
        <f>IF('Legend Attributes'!T28=0,0,ROUND(IF(INDEX('Conversion Range'!$E$2:$E$35,MATCH(T$1,'Conversion Range'!$A$2:$A$35,0))=1,INDEX('Conversion Range'!$D$2:$D$35,MATCH(T$1,'Conversion Range'!$A$2:$A$35,0))-(('Legend Attributes'!T28-1)/19)*(INDEX('Conversion Range'!$D$2:$D$35,MATCH(T$1,'Conversion Range'!$A$2:$A$35,0))-INDEX('Conversion Range'!$C$2:$C$35,MATCH(T$1,'Conversion Range'!$A$2:$A$35,0))),INDEX('Conversion Range'!$C$2:$C$35,MATCH(T$1,'Conversion Range'!$A$2:$A$35,0))+(('Legend Attributes'!T28-1)/19)*(INDEX('Conversion Range'!$D$2:$D$35,MATCH(T$1,'Conversion Range'!$A$2:$A$35,0))-INDEX('Conversion Range'!$C$2:$C$35,MATCH(T$1,'Conversion Range'!$A$2:$A$35,0)))),3))</f>
        <v>40.841999999999999</v>
      </c>
      <c r="U28" s="15">
        <f>IF('Legend Attributes'!U28=0,0,ROUND(IF(INDEX('Conversion Range'!$E$2:$E$35,MATCH(U$1,'Conversion Range'!$A$2:$A$35,0))=1,INDEX('Conversion Range'!$D$2:$D$35,MATCH(U$1,'Conversion Range'!$A$2:$A$35,0))-(('Legend Attributes'!U28-1)/19)*(INDEX('Conversion Range'!$D$2:$D$35,MATCH(U$1,'Conversion Range'!$A$2:$A$35,0))-INDEX('Conversion Range'!$C$2:$C$35,MATCH(U$1,'Conversion Range'!$A$2:$A$35,0))),INDEX('Conversion Range'!$C$2:$C$35,MATCH(U$1,'Conversion Range'!$A$2:$A$35,0))+(('Legend Attributes'!U28-1)/19)*(INDEX('Conversion Range'!$D$2:$D$35,MATCH(U$1,'Conversion Range'!$A$2:$A$35,0))-INDEX('Conversion Range'!$C$2:$C$35,MATCH(U$1,'Conversion Range'!$A$2:$A$35,0)))),3))</f>
        <v>1.9419999999999999</v>
      </c>
      <c r="V28" s="15">
        <f>IF('Legend Attributes'!V28=0,0,ROUND(IF(INDEX('Conversion Range'!$E$2:$E$35,MATCH(V$1,'Conversion Range'!$A$2:$A$35,0))=1,INDEX('Conversion Range'!$D$2:$D$35,MATCH(V$1,'Conversion Range'!$A$2:$A$35,0))-(('Legend Attributes'!V28-1)/19)*(INDEX('Conversion Range'!$D$2:$D$35,MATCH(V$1,'Conversion Range'!$A$2:$A$35,0))-INDEX('Conversion Range'!$C$2:$C$35,MATCH(V$1,'Conversion Range'!$A$2:$A$35,0))),INDEX('Conversion Range'!$C$2:$C$35,MATCH(V$1,'Conversion Range'!$A$2:$A$35,0))+(('Legend Attributes'!V28-1)/19)*(INDEX('Conversion Range'!$D$2:$D$35,MATCH(V$1,'Conversion Range'!$A$2:$A$35,0))-INDEX('Conversion Range'!$C$2:$C$35,MATCH(V$1,'Conversion Range'!$A$2:$A$35,0)))),3))</f>
        <v>48.947000000000003</v>
      </c>
      <c r="W28" s="15">
        <f>IF('Legend Attributes'!W28=0,0,ROUND(IF(INDEX('Conversion Range'!$E$2:$E$35,MATCH(W$1,'Conversion Range'!$A$2:$A$35,0))=1,INDEX('Conversion Range'!$D$2:$D$35,MATCH(W$1,'Conversion Range'!$A$2:$A$35,0))-(('Legend Attributes'!W28-1)/19)*(INDEX('Conversion Range'!$D$2:$D$35,MATCH(W$1,'Conversion Range'!$A$2:$A$35,0))-INDEX('Conversion Range'!$C$2:$C$35,MATCH(W$1,'Conversion Range'!$A$2:$A$35,0))),INDEX('Conversion Range'!$C$2:$C$35,MATCH(W$1,'Conversion Range'!$A$2:$A$35,0))+(('Legend Attributes'!W28-1)/19)*(INDEX('Conversion Range'!$D$2:$D$35,MATCH(W$1,'Conversion Range'!$A$2:$A$35,0))-INDEX('Conversion Range'!$C$2:$C$35,MATCH(W$1,'Conversion Range'!$A$2:$A$35,0)))),3))</f>
        <v>7.9000000000000001E-2</v>
      </c>
      <c r="X28" s="15">
        <f>IF('Legend Attributes'!X28=0,0,ROUND(IF(INDEX('Conversion Range'!$E$2:$E$35,MATCH(X$1,'Conversion Range'!$A$2:$A$35,0))=1,INDEX('Conversion Range'!$D$2:$D$35,MATCH(X$1,'Conversion Range'!$A$2:$A$35,0))-(('Legend Attributes'!X28-1)/19)*(INDEX('Conversion Range'!$D$2:$D$35,MATCH(X$1,'Conversion Range'!$A$2:$A$35,0))-INDEX('Conversion Range'!$C$2:$C$35,MATCH(X$1,'Conversion Range'!$A$2:$A$35,0))),INDEX('Conversion Range'!$C$2:$C$35,MATCH(X$1,'Conversion Range'!$A$2:$A$35,0))+(('Legend Attributes'!X28-1)/19)*(INDEX('Conversion Range'!$D$2:$D$35,MATCH(X$1,'Conversion Range'!$A$2:$A$35,0))-INDEX('Conversion Range'!$C$2:$C$35,MATCH(X$1,'Conversion Range'!$A$2:$A$35,0)))),3))</f>
        <v>0.34699999999999998</v>
      </c>
      <c r="Y28" s="15">
        <f>IF('Legend Attributes'!Y28=0,0,ROUND(IF(INDEX('Conversion Range'!$E$2:$E$35,MATCH(Y$1,'Conversion Range'!$A$2:$A$35,0))=1,INDEX('Conversion Range'!$D$2:$D$35,MATCH(Y$1,'Conversion Range'!$A$2:$A$35,0))-(('Legend Attributes'!Y28-1)/19)*(INDEX('Conversion Range'!$D$2:$D$35,MATCH(Y$1,'Conversion Range'!$A$2:$A$35,0))-INDEX('Conversion Range'!$C$2:$C$35,MATCH(Y$1,'Conversion Range'!$A$2:$A$35,0))),INDEX('Conversion Range'!$C$2:$C$35,MATCH(Y$1,'Conversion Range'!$A$2:$A$35,0))+(('Legend Attributes'!Y28-1)/19)*(INDEX('Conversion Range'!$D$2:$D$35,MATCH(Y$1,'Conversion Range'!$A$2:$A$35,0))-INDEX('Conversion Range'!$C$2:$C$35,MATCH(Y$1,'Conversion Range'!$A$2:$A$35,0)))),3))</f>
        <v>0.42599999999999999</v>
      </c>
      <c r="Z28" s="15">
        <f>IF('Legend Attributes'!Z28=0,0,ROUND(IF(INDEX('Conversion Range'!$E$2:$E$35,MATCH(Z$1,'Conversion Range'!$A$2:$A$35,0))=1,INDEX('Conversion Range'!$D$2:$D$35,MATCH(Z$1,'Conversion Range'!$A$2:$A$35,0))-(('Legend Attributes'!Z28-1)/19)*(INDEX('Conversion Range'!$D$2:$D$35,MATCH(Z$1,'Conversion Range'!$A$2:$A$35,0))-INDEX('Conversion Range'!$C$2:$C$35,MATCH(Z$1,'Conversion Range'!$A$2:$A$35,0))),INDEX('Conversion Range'!$C$2:$C$35,MATCH(Z$1,'Conversion Range'!$A$2:$A$35,0))+(('Legend Attributes'!Z28-1)/19)*(INDEX('Conversion Range'!$D$2:$D$35,MATCH(Z$1,'Conversion Range'!$A$2:$A$35,0))-INDEX('Conversion Range'!$C$2:$C$35,MATCH(Z$1,'Conversion Range'!$A$2:$A$35,0)))),3))</f>
        <v>10.737</v>
      </c>
      <c r="AA28" s="15">
        <f>IF('Legend Attributes'!AA28=0,0,ROUND(IF(INDEX('Conversion Range'!$E$2:$E$35,MATCH(AA$1,'Conversion Range'!$A$2:$A$35,0))=1,INDEX('Conversion Range'!$D$2:$D$35,MATCH(AA$1,'Conversion Range'!$A$2:$A$35,0))-(('Legend Attributes'!AA28-1)/19)*(INDEX('Conversion Range'!$D$2:$D$35,MATCH(AA$1,'Conversion Range'!$A$2:$A$35,0))-INDEX('Conversion Range'!$C$2:$C$35,MATCH(AA$1,'Conversion Range'!$A$2:$A$35,0))),INDEX('Conversion Range'!$C$2:$C$35,MATCH(AA$1,'Conversion Range'!$A$2:$A$35,0))+(('Legend Attributes'!AA28-1)/19)*(INDEX('Conversion Range'!$D$2:$D$35,MATCH(AA$1,'Conversion Range'!$A$2:$A$35,0))-INDEX('Conversion Range'!$C$2:$C$35,MATCH(AA$1,'Conversion Range'!$A$2:$A$35,0)))),3))</f>
        <v>1.7999999999999999E-2</v>
      </c>
      <c r="AB28" s="15">
        <f>IF('Legend Attributes'!AB28=0,0,ROUND(IF(INDEX('Conversion Range'!$E$2:$E$35,MATCH(AB$1,'Conversion Range'!$A$2:$A$35,0))=1,INDEX('Conversion Range'!$D$2:$D$35,MATCH(AB$1,'Conversion Range'!$A$2:$A$35,0))-(('Legend Attributes'!AB28-1)/19)*(INDEX('Conversion Range'!$D$2:$D$35,MATCH(AB$1,'Conversion Range'!$A$2:$A$35,0))-INDEX('Conversion Range'!$C$2:$C$35,MATCH(AB$1,'Conversion Range'!$A$2:$A$35,0))),INDEX('Conversion Range'!$C$2:$C$35,MATCH(AB$1,'Conversion Range'!$A$2:$A$35,0))+(('Legend Attributes'!AB28-1)/19)*(INDEX('Conversion Range'!$D$2:$D$35,MATCH(AB$1,'Conversion Range'!$A$2:$A$35,0))-INDEX('Conversion Range'!$C$2:$C$35,MATCH(AB$1,'Conversion Range'!$A$2:$A$35,0)))),3))</f>
        <v>0.42899999999999999</v>
      </c>
      <c r="AC28" s="15">
        <f>IF('Legend Attributes'!AC28=0,0,ROUND(IF(INDEX('Conversion Range'!$E$2:$E$35,MATCH(AC$1,'Conversion Range'!$A$2:$A$35,0))=1,INDEX('Conversion Range'!$D$2:$D$35,MATCH(AC$1,'Conversion Range'!$A$2:$A$35,0))-(('Legend Attributes'!AC28-1)/19)*(INDEX('Conversion Range'!$D$2:$D$35,MATCH(AC$1,'Conversion Range'!$A$2:$A$35,0))-INDEX('Conversion Range'!$C$2:$C$35,MATCH(AC$1,'Conversion Range'!$A$2:$A$35,0))),INDEX('Conversion Range'!$C$2:$C$35,MATCH(AC$1,'Conversion Range'!$A$2:$A$35,0))+(('Legend Attributes'!AC28-1)/19)*(INDEX('Conversion Range'!$D$2:$D$35,MATCH(AC$1,'Conversion Range'!$A$2:$A$35,0))-INDEX('Conversion Range'!$C$2:$C$35,MATCH(AC$1,'Conversion Range'!$A$2:$A$35,0)))),3))</f>
        <v>0.27600000000000002</v>
      </c>
      <c r="AD28" s="15">
        <f>IF('Legend Attributes'!AD28=0,0,ROUND(IF(INDEX('Conversion Range'!$E$2:$E$35,MATCH(AD$1,'Conversion Range'!$A$2:$A$35,0))=1,INDEX('Conversion Range'!$D$2:$D$35,MATCH(AD$1,'Conversion Range'!$A$2:$A$35,0))-(('Legend Attributes'!AD28-1)/19)*(INDEX('Conversion Range'!$D$2:$D$35,MATCH(AD$1,'Conversion Range'!$A$2:$A$35,0))-INDEX('Conversion Range'!$C$2:$C$35,MATCH(AD$1,'Conversion Range'!$A$2:$A$35,0))),INDEX('Conversion Range'!$C$2:$C$35,MATCH(AD$1,'Conversion Range'!$A$2:$A$35,0))+(('Legend Attributes'!AD28-1)/19)*(INDEX('Conversion Range'!$D$2:$D$35,MATCH(AD$1,'Conversion Range'!$A$2:$A$35,0))-INDEX('Conversion Range'!$C$2:$C$35,MATCH(AD$1,'Conversion Range'!$A$2:$A$35,0)))),3))</f>
        <v>0</v>
      </c>
      <c r="AE28" s="15">
        <f>IF('Legend Attributes'!AE28=0,0,ROUND(IF(INDEX('Conversion Range'!$E$2:$E$35,MATCH(AE$1,'Conversion Range'!$A$2:$A$35,0))=1,INDEX('Conversion Range'!$D$2:$D$35,MATCH(AE$1,'Conversion Range'!$A$2:$A$35,0))-(('Legend Attributes'!AE28-1)/19)*(INDEX('Conversion Range'!$D$2:$D$35,MATCH(AE$1,'Conversion Range'!$A$2:$A$35,0))-INDEX('Conversion Range'!$C$2:$C$35,MATCH(AE$1,'Conversion Range'!$A$2:$A$35,0))),INDEX('Conversion Range'!$C$2:$C$35,MATCH(AE$1,'Conversion Range'!$A$2:$A$35,0))+(('Legend Attributes'!AE28-1)/19)*(INDEX('Conversion Range'!$D$2:$D$35,MATCH(AE$1,'Conversion Range'!$A$2:$A$35,0))-INDEX('Conversion Range'!$C$2:$C$35,MATCH(AE$1,'Conversion Range'!$A$2:$A$35,0)))),3))</f>
        <v>0</v>
      </c>
      <c r="AF28" s="15">
        <f>IF('Legend Attributes'!AF28=0,0,ROUND(IF(INDEX('Conversion Range'!$E$2:$E$35,MATCH(AF$1,'Conversion Range'!$A$2:$A$35,0))=1,INDEX('Conversion Range'!$D$2:$D$35,MATCH(AF$1,'Conversion Range'!$A$2:$A$35,0))-(('Legend Attributes'!AF28-1)/19)*(INDEX('Conversion Range'!$D$2:$D$35,MATCH(AF$1,'Conversion Range'!$A$2:$A$35,0))-INDEX('Conversion Range'!$C$2:$C$35,MATCH(AF$1,'Conversion Range'!$A$2:$A$35,0))),INDEX('Conversion Range'!$C$2:$C$35,MATCH(AF$1,'Conversion Range'!$A$2:$A$35,0))+(('Legend Attributes'!AF28-1)/19)*(INDEX('Conversion Range'!$D$2:$D$35,MATCH(AF$1,'Conversion Range'!$A$2:$A$35,0))-INDEX('Conversion Range'!$C$2:$C$35,MATCH(AF$1,'Conversion Range'!$A$2:$A$35,0)))),3))</f>
        <v>0</v>
      </c>
      <c r="AG28" s="15">
        <f>IF('Legend Attributes'!AG28=0,0,ROUND(IF(INDEX('Conversion Range'!$E$2:$E$35,MATCH(AG$1,'Conversion Range'!$A$2:$A$35,0))=1,INDEX('Conversion Range'!$D$2:$D$35,MATCH(AG$1,'Conversion Range'!$A$2:$A$35,0))-(('Legend Attributes'!AG28-1)/19)*(INDEX('Conversion Range'!$D$2:$D$35,MATCH(AG$1,'Conversion Range'!$A$2:$A$35,0))-INDEX('Conversion Range'!$C$2:$C$35,MATCH(AG$1,'Conversion Range'!$A$2:$A$35,0))),INDEX('Conversion Range'!$C$2:$C$35,MATCH(AG$1,'Conversion Range'!$A$2:$A$35,0))+(('Legend Attributes'!AG28-1)/19)*(INDEX('Conversion Range'!$D$2:$D$35,MATCH(AG$1,'Conversion Range'!$A$2:$A$35,0))-INDEX('Conversion Range'!$C$2:$C$35,MATCH(AG$1,'Conversion Range'!$A$2:$A$35,0)))),3))</f>
        <v>1.1319999999999999</v>
      </c>
      <c r="AH28" s="15">
        <f>IF('Legend Attributes'!AH28=0,0,ROUND(IF(INDEX('Conversion Range'!$E$2:$E$35,MATCH(AH$1,'Conversion Range'!$A$2:$A$35,0))=1,INDEX('Conversion Range'!$D$2:$D$35,MATCH(AH$1,'Conversion Range'!$A$2:$A$35,0))-(('Legend Attributes'!AH28-1)/19)*(INDEX('Conversion Range'!$D$2:$D$35,MATCH(AH$1,'Conversion Range'!$A$2:$A$35,0))-INDEX('Conversion Range'!$C$2:$C$35,MATCH(AH$1,'Conversion Range'!$A$2:$A$35,0))),INDEX('Conversion Range'!$C$2:$C$35,MATCH(AH$1,'Conversion Range'!$A$2:$A$35,0))+(('Legend Attributes'!AH28-1)/19)*(INDEX('Conversion Range'!$D$2:$D$35,MATCH(AH$1,'Conversion Range'!$A$2:$A$35,0))-INDEX('Conversion Range'!$C$2:$C$35,MATCH(AH$1,'Conversion Range'!$A$2:$A$35,0)))),3))</f>
        <v>0.314</v>
      </c>
      <c r="AI28" s="15">
        <f>IF('Legend Attributes'!AI28=0,0,ROUND(IF(INDEX('Conversion Range'!$E$2:$E$35,MATCH(AI$1,'Conversion Range'!$A$2:$A$35,0))=1,INDEX('Conversion Range'!$D$2:$D$35,MATCH(AI$1,'Conversion Range'!$A$2:$A$35,0))-(('Legend Attributes'!AI28-1)/19)*(INDEX('Conversion Range'!$D$2:$D$35,MATCH(AI$1,'Conversion Range'!$A$2:$A$35,0))-INDEX('Conversion Range'!$C$2:$C$35,MATCH(AI$1,'Conversion Range'!$A$2:$A$35,0))),INDEX('Conversion Range'!$C$2:$C$35,MATCH(AI$1,'Conversion Range'!$A$2:$A$35,0))+(('Legend Attributes'!AI28-1)/19)*(INDEX('Conversion Range'!$D$2:$D$35,MATCH(AI$1,'Conversion Range'!$A$2:$A$35,0))-INDEX('Conversion Range'!$C$2:$C$35,MATCH(AI$1,'Conversion Range'!$A$2:$A$35,0)))),3))</f>
        <v>7.5999999999999998E-2</v>
      </c>
      <c r="AJ28" s="15">
        <f>IF('Legend Attributes'!AJ28=0,0,ROUND(IF(INDEX('Conversion Range'!$E$2:$E$35,MATCH(AJ$1,'Conversion Range'!$A$2:$A$35,0))=1,INDEX('Conversion Range'!$D$2:$D$35,MATCH(AJ$1,'Conversion Range'!$A$2:$A$35,0))-(('Legend Attributes'!AJ28-1)/19)*(INDEX('Conversion Range'!$D$2:$D$35,MATCH(AJ$1,'Conversion Range'!$A$2:$A$35,0))-INDEX('Conversion Range'!$C$2:$C$35,MATCH(AJ$1,'Conversion Range'!$A$2:$A$35,0))),INDEX('Conversion Range'!$C$2:$C$35,MATCH(AJ$1,'Conversion Range'!$A$2:$A$35,0))+(('Legend Attributes'!AJ28-1)/19)*(INDEX('Conversion Range'!$D$2:$D$35,MATCH(AJ$1,'Conversion Range'!$A$2:$A$35,0))-INDEX('Conversion Range'!$C$2:$C$35,MATCH(AJ$1,'Conversion Range'!$A$2:$A$35,0)))),3))</f>
        <v>7.726</v>
      </c>
    </row>
    <row r="29" spans="1:36" x14ac:dyDescent="0.35">
      <c r="A29" s="14" t="str">
        <f>'Legend Attributes'!A29</f>
        <v>Fernando Redondo</v>
      </c>
      <c r="B29" s="15" t="str">
        <f>'Legend Attributes'!B29</f>
        <v>CM</v>
      </c>
      <c r="C29" s="15">
        <f>IF('Legend Attributes'!C29=0,0,ROUND(IF(INDEX('Conversion Range'!$E$2:$E$35,MATCH(C$1,'Conversion Range'!$A$2:$A$35,0))=1,INDEX('Conversion Range'!$D$2:$D$35,MATCH(C$1,'Conversion Range'!$A$2:$A$35,0))-(('Legend Attributes'!C29-1)/19)*(INDEX('Conversion Range'!$D$2:$D$35,MATCH(C$1,'Conversion Range'!$A$2:$A$35,0))-INDEX('Conversion Range'!$C$2:$C$35,MATCH(C$1,'Conversion Range'!$A$2:$A$35,0))),INDEX('Conversion Range'!$C$2:$C$35,MATCH(C$1,'Conversion Range'!$A$2:$A$35,0))+(('Legend Attributes'!C29-1)/19)*(INDEX('Conversion Range'!$D$2:$D$35,MATCH(C$1,'Conversion Range'!$A$2:$A$35,0))-INDEX('Conversion Range'!$C$2:$C$35,MATCH(C$1,'Conversion Range'!$A$2:$A$35,0)))),3))</f>
        <v>0.19500000000000001</v>
      </c>
      <c r="D29" s="15">
        <f>IF('Legend Attributes'!D29=0,0,ROUND(IF(INDEX('Conversion Range'!$E$2:$E$35,MATCH(D$1,'Conversion Range'!$A$2:$A$35,0))=1,INDEX('Conversion Range'!$D$2:$D$35,MATCH(D$1,'Conversion Range'!$A$2:$A$35,0))-(('Legend Attributes'!D29-1)/19)*(INDEX('Conversion Range'!$D$2:$D$35,MATCH(D$1,'Conversion Range'!$A$2:$A$35,0))-INDEX('Conversion Range'!$C$2:$C$35,MATCH(D$1,'Conversion Range'!$A$2:$A$35,0))),INDEX('Conversion Range'!$C$2:$C$35,MATCH(D$1,'Conversion Range'!$A$2:$A$35,0))+(('Legend Attributes'!D29-1)/19)*(INDEX('Conversion Range'!$D$2:$D$35,MATCH(D$1,'Conversion Range'!$A$2:$A$35,0))-INDEX('Conversion Range'!$C$2:$C$35,MATCH(D$1,'Conversion Range'!$A$2:$A$35,0)))),3))</f>
        <v>0.17399999999999999</v>
      </c>
      <c r="E29" s="15">
        <f>IF('Legend Attributes'!E29=0,0,ROUND(IF(INDEX('Conversion Range'!$E$2:$E$35,MATCH(E$1,'Conversion Range'!$A$2:$A$35,0))=1,INDEX('Conversion Range'!$D$2:$D$35,MATCH(E$1,'Conversion Range'!$A$2:$A$35,0))-(('Legend Attributes'!E29-1)/19)*(INDEX('Conversion Range'!$D$2:$D$35,MATCH(E$1,'Conversion Range'!$A$2:$A$35,0))-INDEX('Conversion Range'!$C$2:$C$35,MATCH(E$1,'Conversion Range'!$A$2:$A$35,0))),INDEX('Conversion Range'!$C$2:$C$35,MATCH(E$1,'Conversion Range'!$A$2:$A$35,0))+(('Legend Attributes'!E29-1)/19)*(INDEX('Conversion Range'!$D$2:$D$35,MATCH(E$1,'Conversion Range'!$A$2:$A$35,0))-INDEX('Conversion Range'!$C$2:$C$35,MATCH(E$1,'Conversion Range'!$A$2:$A$35,0)))),3))</f>
        <v>0.152</v>
      </c>
      <c r="F29" s="15">
        <f>IF('Legend Attributes'!F29=0,0,ROUND(IF(INDEX('Conversion Range'!$E$2:$E$35,MATCH(F$1,'Conversion Range'!$A$2:$A$35,0))=1,INDEX('Conversion Range'!$D$2:$D$35,MATCH(F$1,'Conversion Range'!$A$2:$A$35,0))-(('Legend Attributes'!F29-1)/19)*(INDEX('Conversion Range'!$D$2:$D$35,MATCH(F$1,'Conversion Range'!$A$2:$A$35,0))-INDEX('Conversion Range'!$C$2:$C$35,MATCH(F$1,'Conversion Range'!$A$2:$A$35,0))),INDEX('Conversion Range'!$C$2:$C$35,MATCH(F$1,'Conversion Range'!$A$2:$A$35,0))+(('Legend Attributes'!F29-1)/19)*(INDEX('Conversion Range'!$D$2:$D$35,MATCH(F$1,'Conversion Range'!$A$2:$A$35,0))-INDEX('Conversion Range'!$C$2:$C$35,MATCH(F$1,'Conversion Range'!$A$2:$A$35,0)))),3))</f>
        <v>1.163</v>
      </c>
      <c r="G29" s="15">
        <f>IF('Legend Attributes'!G29=0,0,ROUND(IF(INDEX('Conversion Range'!$E$2:$E$35,MATCH(G$1,'Conversion Range'!$A$2:$A$35,0))=1,INDEX('Conversion Range'!$D$2:$D$35,MATCH(G$1,'Conversion Range'!$A$2:$A$35,0))-(('Legend Attributes'!G29-1)/19)*(INDEX('Conversion Range'!$D$2:$D$35,MATCH(G$1,'Conversion Range'!$A$2:$A$35,0))-INDEX('Conversion Range'!$C$2:$C$35,MATCH(G$1,'Conversion Range'!$A$2:$A$35,0))),INDEX('Conversion Range'!$C$2:$C$35,MATCH(G$1,'Conversion Range'!$A$2:$A$35,0))+(('Legend Attributes'!G29-1)/19)*(INDEX('Conversion Range'!$D$2:$D$35,MATCH(G$1,'Conversion Range'!$A$2:$A$35,0))-INDEX('Conversion Range'!$C$2:$C$35,MATCH(G$1,'Conversion Range'!$A$2:$A$35,0)))),3))</f>
        <v>0.54700000000000004</v>
      </c>
      <c r="H29" s="15">
        <f>IF('Legend Attributes'!H29=0,0,ROUND(IF(INDEX('Conversion Range'!$E$2:$E$35,MATCH(H$1,'Conversion Range'!$A$2:$A$35,0))=1,INDEX('Conversion Range'!$D$2:$D$35,MATCH(H$1,'Conversion Range'!$A$2:$A$35,0))-(('Legend Attributes'!H29-1)/19)*(INDEX('Conversion Range'!$D$2:$D$35,MATCH(H$1,'Conversion Range'!$A$2:$A$35,0))-INDEX('Conversion Range'!$C$2:$C$35,MATCH(H$1,'Conversion Range'!$A$2:$A$35,0))),INDEX('Conversion Range'!$C$2:$C$35,MATCH(H$1,'Conversion Range'!$A$2:$A$35,0))+(('Legend Attributes'!H29-1)/19)*(INDEX('Conversion Range'!$D$2:$D$35,MATCH(H$1,'Conversion Range'!$A$2:$A$35,0))-INDEX('Conversion Range'!$C$2:$C$35,MATCH(H$1,'Conversion Range'!$A$2:$A$35,0)))),3))</f>
        <v>5.2999999999999999E-2</v>
      </c>
      <c r="I29" s="15">
        <f>IF('Legend Attributes'!I29=0,0,ROUND(IF(INDEX('Conversion Range'!$E$2:$E$35,MATCH(I$1,'Conversion Range'!$A$2:$A$35,0))=1,INDEX('Conversion Range'!$D$2:$D$35,MATCH(I$1,'Conversion Range'!$A$2:$A$35,0))-(('Legend Attributes'!I29-1)/19)*(INDEX('Conversion Range'!$D$2:$D$35,MATCH(I$1,'Conversion Range'!$A$2:$A$35,0))-INDEX('Conversion Range'!$C$2:$C$35,MATCH(I$1,'Conversion Range'!$A$2:$A$35,0))),INDEX('Conversion Range'!$C$2:$C$35,MATCH(I$1,'Conversion Range'!$A$2:$A$35,0))+(('Legend Attributes'!I29-1)/19)*(INDEX('Conversion Range'!$D$2:$D$35,MATCH(I$1,'Conversion Range'!$A$2:$A$35,0))-INDEX('Conversion Range'!$C$2:$C$35,MATCH(I$1,'Conversion Range'!$A$2:$A$35,0)))),3))</f>
        <v>1.8109999999999999</v>
      </c>
      <c r="J29" s="15">
        <f>IF('Legend Attributes'!J29=0,0,ROUND(IF(INDEX('Conversion Range'!$E$2:$E$35,MATCH(J$1,'Conversion Range'!$A$2:$A$35,0))=1,INDEX('Conversion Range'!$D$2:$D$35,MATCH(J$1,'Conversion Range'!$A$2:$A$35,0))-(('Legend Attributes'!J29-1)/19)*(INDEX('Conversion Range'!$D$2:$D$35,MATCH(J$1,'Conversion Range'!$A$2:$A$35,0))-INDEX('Conversion Range'!$C$2:$C$35,MATCH(J$1,'Conversion Range'!$A$2:$A$35,0))),INDEX('Conversion Range'!$C$2:$C$35,MATCH(J$1,'Conversion Range'!$A$2:$A$35,0))+(('Legend Attributes'!J29-1)/19)*(INDEX('Conversion Range'!$D$2:$D$35,MATCH(J$1,'Conversion Range'!$A$2:$A$35,0))-INDEX('Conversion Range'!$C$2:$C$35,MATCH(J$1,'Conversion Range'!$A$2:$A$35,0)))),3))</f>
        <v>1.6679999999999999</v>
      </c>
      <c r="K29" s="15">
        <f>IF('Legend Attributes'!K29=0,0,ROUND(IF(INDEX('Conversion Range'!$E$2:$E$35,MATCH(K$1,'Conversion Range'!$A$2:$A$35,0))=1,INDEX('Conversion Range'!$D$2:$D$35,MATCH(K$1,'Conversion Range'!$A$2:$A$35,0))-(('Legend Attributes'!K29-1)/19)*(INDEX('Conversion Range'!$D$2:$D$35,MATCH(K$1,'Conversion Range'!$A$2:$A$35,0))-INDEX('Conversion Range'!$C$2:$C$35,MATCH(K$1,'Conversion Range'!$A$2:$A$35,0))),INDEX('Conversion Range'!$C$2:$C$35,MATCH(K$1,'Conversion Range'!$A$2:$A$35,0))+(('Legend Attributes'!K29-1)/19)*(INDEX('Conversion Range'!$D$2:$D$35,MATCH(K$1,'Conversion Range'!$A$2:$A$35,0))-INDEX('Conversion Range'!$C$2:$C$35,MATCH(K$1,'Conversion Range'!$A$2:$A$35,0)))),3))</f>
        <v>1.4890000000000001</v>
      </c>
      <c r="L29" s="15">
        <f>IF('Legend Attributes'!L29=0,0,ROUND(IF(INDEX('Conversion Range'!$E$2:$E$35,MATCH(L$1,'Conversion Range'!$A$2:$A$35,0))=1,INDEX('Conversion Range'!$D$2:$D$35,MATCH(L$1,'Conversion Range'!$A$2:$A$35,0))-(('Legend Attributes'!L29-1)/19)*(INDEX('Conversion Range'!$D$2:$D$35,MATCH(L$1,'Conversion Range'!$A$2:$A$35,0))-INDEX('Conversion Range'!$C$2:$C$35,MATCH(L$1,'Conversion Range'!$A$2:$A$35,0))),INDEX('Conversion Range'!$C$2:$C$35,MATCH(L$1,'Conversion Range'!$A$2:$A$35,0))+(('Legend Attributes'!L29-1)/19)*(INDEX('Conversion Range'!$D$2:$D$35,MATCH(L$1,'Conversion Range'!$A$2:$A$35,0))-INDEX('Conversion Range'!$C$2:$C$35,MATCH(L$1,'Conversion Range'!$A$2:$A$35,0)))),3))</f>
        <v>1.3049999999999999</v>
      </c>
      <c r="M29" s="15">
        <f>IF('Legend Attributes'!M29=0,0,ROUND(IF(INDEX('Conversion Range'!$E$2:$E$35,MATCH(M$1,'Conversion Range'!$A$2:$A$35,0))=1,INDEX('Conversion Range'!$D$2:$D$35,MATCH(M$1,'Conversion Range'!$A$2:$A$35,0))-(('Legend Attributes'!M29-1)/19)*(INDEX('Conversion Range'!$D$2:$D$35,MATCH(M$1,'Conversion Range'!$A$2:$A$35,0))-INDEX('Conversion Range'!$C$2:$C$35,MATCH(M$1,'Conversion Range'!$A$2:$A$35,0))),INDEX('Conversion Range'!$C$2:$C$35,MATCH(M$1,'Conversion Range'!$A$2:$A$35,0))+(('Legend Attributes'!M29-1)/19)*(INDEX('Conversion Range'!$D$2:$D$35,MATCH(M$1,'Conversion Range'!$A$2:$A$35,0))-INDEX('Conversion Range'!$C$2:$C$35,MATCH(M$1,'Conversion Range'!$A$2:$A$35,0)))),3))</f>
        <v>0.33700000000000002</v>
      </c>
      <c r="N29" s="15">
        <f>IF('Legend Attributes'!N29=0,0,ROUND(IF(INDEX('Conversion Range'!$E$2:$E$35,MATCH(N$1,'Conversion Range'!$A$2:$A$35,0))=1,INDEX('Conversion Range'!$D$2:$D$35,MATCH(N$1,'Conversion Range'!$A$2:$A$35,0))-(('Legend Attributes'!N29-1)/19)*(INDEX('Conversion Range'!$D$2:$D$35,MATCH(N$1,'Conversion Range'!$A$2:$A$35,0))-INDEX('Conversion Range'!$C$2:$C$35,MATCH(N$1,'Conversion Range'!$A$2:$A$35,0))),INDEX('Conversion Range'!$C$2:$C$35,MATCH(N$1,'Conversion Range'!$A$2:$A$35,0))+(('Legend Attributes'!N29-1)/19)*(INDEX('Conversion Range'!$D$2:$D$35,MATCH(N$1,'Conversion Range'!$A$2:$A$35,0))-INDEX('Conversion Range'!$C$2:$C$35,MATCH(N$1,'Conversion Range'!$A$2:$A$35,0)))),3))</f>
        <v>6.3419999999999996</v>
      </c>
      <c r="O29" s="15">
        <f>IF('Legend Attributes'!O29=0,0,ROUND(IF(INDEX('Conversion Range'!$E$2:$E$35,MATCH(O$1,'Conversion Range'!$A$2:$A$35,0))=1,INDEX('Conversion Range'!$D$2:$D$35,MATCH(O$1,'Conversion Range'!$A$2:$A$35,0))-(('Legend Attributes'!O29-1)/19)*(INDEX('Conversion Range'!$D$2:$D$35,MATCH(O$1,'Conversion Range'!$A$2:$A$35,0))-INDEX('Conversion Range'!$C$2:$C$35,MATCH(O$1,'Conversion Range'!$A$2:$A$35,0))),INDEX('Conversion Range'!$C$2:$C$35,MATCH(O$1,'Conversion Range'!$A$2:$A$35,0))+(('Legend Attributes'!O29-1)/19)*(INDEX('Conversion Range'!$D$2:$D$35,MATCH(O$1,'Conversion Range'!$A$2:$A$35,0))-INDEX('Conversion Range'!$C$2:$C$35,MATCH(O$1,'Conversion Range'!$A$2:$A$35,0)))),3))</f>
        <v>2.7109999999999999</v>
      </c>
      <c r="P29" s="15">
        <f>IF('Legend Attributes'!P29=0,0,ROUND(IF(INDEX('Conversion Range'!$E$2:$E$35,MATCH(P$1,'Conversion Range'!$A$2:$A$35,0))=1,INDEX('Conversion Range'!$D$2:$D$35,MATCH(P$1,'Conversion Range'!$A$2:$A$35,0))-(('Legend Attributes'!P29-1)/19)*(INDEX('Conversion Range'!$D$2:$D$35,MATCH(P$1,'Conversion Range'!$A$2:$A$35,0))-INDEX('Conversion Range'!$C$2:$C$35,MATCH(P$1,'Conversion Range'!$A$2:$A$35,0))),INDEX('Conversion Range'!$C$2:$C$35,MATCH(P$1,'Conversion Range'!$A$2:$A$35,0))+(('Legend Attributes'!P29-1)/19)*(INDEX('Conversion Range'!$D$2:$D$35,MATCH(P$1,'Conversion Range'!$A$2:$A$35,0))-INDEX('Conversion Range'!$C$2:$C$35,MATCH(P$1,'Conversion Range'!$A$2:$A$35,0)))),3))</f>
        <v>76.316000000000003</v>
      </c>
      <c r="Q29" s="15">
        <f>IF('Legend Attributes'!Q29=0,0,ROUND(IF(INDEX('Conversion Range'!$E$2:$E$35,MATCH(Q$1,'Conversion Range'!$A$2:$A$35,0))=1,INDEX('Conversion Range'!$D$2:$D$35,MATCH(Q$1,'Conversion Range'!$A$2:$A$35,0))-(('Legend Attributes'!Q29-1)/19)*(INDEX('Conversion Range'!$D$2:$D$35,MATCH(Q$1,'Conversion Range'!$A$2:$A$35,0))-INDEX('Conversion Range'!$C$2:$C$35,MATCH(Q$1,'Conversion Range'!$A$2:$A$35,0))),INDEX('Conversion Range'!$C$2:$C$35,MATCH(Q$1,'Conversion Range'!$A$2:$A$35,0))+(('Legend Attributes'!Q29-1)/19)*(INDEX('Conversion Range'!$D$2:$D$35,MATCH(Q$1,'Conversion Range'!$A$2:$A$35,0))-INDEX('Conversion Range'!$C$2:$C$35,MATCH(Q$1,'Conversion Range'!$A$2:$A$35,0)))),3))</f>
        <v>48.895000000000003</v>
      </c>
      <c r="R29" s="15">
        <f>IF('Legend Attributes'!R29=0,0,ROUND(IF(INDEX('Conversion Range'!$E$2:$E$35,MATCH(R$1,'Conversion Range'!$A$2:$A$35,0))=1,INDEX('Conversion Range'!$D$2:$D$35,MATCH(R$1,'Conversion Range'!$A$2:$A$35,0))-(('Legend Attributes'!R29-1)/19)*(INDEX('Conversion Range'!$D$2:$D$35,MATCH(R$1,'Conversion Range'!$A$2:$A$35,0))-INDEX('Conversion Range'!$C$2:$C$35,MATCH(R$1,'Conversion Range'!$A$2:$A$35,0))),INDEX('Conversion Range'!$C$2:$C$35,MATCH(R$1,'Conversion Range'!$A$2:$A$35,0))+(('Legend Attributes'!R29-1)/19)*(INDEX('Conversion Range'!$D$2:$D$35,MATCH(R$1,'Conversion Range'!$A$2:$A$35,0))-INDEX('Conversion Range'!$C$2:$C$35,MATCH(R$1,'Conversion Range'!$A$2:$A$35,0)))),3))</f>
        <v>86.578999999999994</v>
      </c>
      <c r="S29" s="15">
        <f>IF('Legend Attributes'!S29=0,0,ROUND(IF(INDEX('Conversion Range'!$E$2:$E$35,MATCH(S$1,'Conversion Range'!$A$2:$A$35,0))=1,INDEX('Conversion Range'!$D$2:$D$35,MATCH(S$1,'Conversion Range'!$A$2:$A$35,0))-(('Legend Attributes'!S29-1)/19)*(INDEX('Conversion Range'!$D$2:$D$35,MATCH(S$1,'Conversion Range'!$A$2:$A$35,0))-INDEX('Conversion Range'!$C$2:$C$35,MATCH(S$1,'Conversion Range'!$A$2:$A$35,0))),INDEX('Conversion Range'!$C$2:$C$35,MATCH(S$1,'Conversion Range'!$A$2:$A$35,0))+(('Legend Attributes'!S29-1)/19)*(INDEX('Conversion Range'!$D$2:$D$35,MATCH(S$1,'Conversion Range'!$A$2:$A$35,0))-INDEX('Conversion Range'!$C$2:$C$35,MATCH(S$1,'Conversion Range'!$A$2:$A$35,0)))),3))</f>
        <v>4.6159999999999997</v>
      </c>
      <c r="T29" s="15">
        <f>IF('Legend Attributes'!T29=0,0,ROUND(IF(INDEX('Conversion Range'!$E$2:$E$35,MATCH(T$1,'Conversion Range'!$A$2:$A$35,0))=1,INDEX('Conversion Range'!$D$2:$D$35,MATCH(T$1,'Conversion Range'!$A$2:$A$35,0))-(('Legend Attributes'!T29-1)/19)*(INDEX('Conversion Range'!$D$2:$D$35,MATCH(T$1,'Conversion Range'!$A$2:$A$35,0))-INDEX('Conversion Range'!$C$2:$C$35,MATCH(T$1,'Conversion Range'!$A$2:$A$35,0))),INDEX('Conversion Range'!$C$2:$C$35,MATCH(T$1,'Conversion Range'!$A$2:$A$35,0))+(('Legend Attributes'!T29-1)/19)*(INDEX('Conversion Range'!$D$2:$D$35,MATCH(T$1,'Conversion Range'!$A$2:$A$35,0))-INDEX('Conversion Range'!$C$2:$C$35,MATCH(T$1,'Conversion Range'!$A$2:$A$35,0)))),3))</f>
        <v>52.158000000000001</v>
      </c>
      <c r="U29" s="15">
        <f>IF('Legend Attributes'!U29=0,0,ROUND(IF(INDEX('Conversion Range'!$E$2:$E$35,MATCH(U$1,'Conversion Range'!$A$2:$A$35,0))=1,INDEX('Conversion Range'!$D$2:$D$35,MATCH(U$1,'Conversion Range'!$A$2:$A$35,0))-(('Legend Attributes'!U29-1)/19)*(INDEX('Conversion Range'!$D$2:$D$35,MATCH(U$1,'Conversion Range'!$A$2:$A$35,0))-INDEX('Conversion Range'!$C$2:$C$35,MATCH(U$1,'Conversion Range'!$A$2:$A$35,0))),INDEX('Conversion Range'!$C$2:$C$35,MATCH(U$1,'Conversion Range'!$A$2:$A$35,0))+(('Legend Attributes'!U29-1)/19)*(INDEX('Conversion Range'!$D$2:$D$35,MATCH(U$1,'Conversion Range'!$A$2:$A$35,0))-INDEX('Conversion Range'!$C$2:$C$35,MATCH(U$1,'Conversion Range'!$A$2:$A$35,0)))),3))</f>
        <v>0.84699999999999998</v>
      </c>
      <c r="V29" s="15">
        <f>IF('Legend Attributes'!V29=0,0,ROUND(IF(INDEX('Conversion Range'!$E$2:$E$35,MATCH(V$1,'Conversion Range'!$A$2:$A$35,0))=1,INDEX('Conversion Range'!$D$2:$D$35,MATCH(V$1,'Conversion Range'!$A$2:$A$35,0))-(('Legend Attributes'!V29-1)/19)*(INDEX('Conversion Range'!$D$2:$D$35,MATCH(V$1,'Conversion Range'!$A$2:$A$35,0))-INDEX('Conversion Range'!$C$2:$C$35,MATCH(V$1,'Conversion Range'!$A$2:$A$35,0))),INDEX('Conversion Range'!$C$2:$C$35,MATCH(V$1,'Conversion Range'!$A$2:$A$35,0))+(('Legend Attributes'!V29-1)/19)*(INDEX('Conversion Range'!$D$2:$D$35,MATCH(V$1,'Conversion Range'!$A$2:$A$35,0))-INDEX('Conversion Range'!$C$2:$C$35,MATCH(V$1,'Conversion Range'!$A$2:$A$35,0)))),3))</f>
        <v>39.473999999999997</v>
      </c>
      <c r="W29" s="15">
        <f>IF('Legend Attributes'!W29=0,0,ROUND(IF(INDEX('Conversion Range'!$E$2:$E$35,MATCH(W$1,'Conversion Range'!$A$2:$A$35,0))=1,INDEX('Conversion Range'!$D$2:$D$35,MATCH(W$1,'Conversion Range'!$A$2:$A$35,0))-(('Legend Attributes'!W29-1)/19)*(INDEX('Conversion Range'!$D$2:$D$35,MATCH(W$1,'Conversion Range'!$A$2:$A$35,0))-INDEX('Conversion Range'!$C$2:$C$35,MATCH(W$1,'Conversion Range'!$A$2:$A$35,0))),INDEX('Conversion Range'!$C$2:$C$35,MATCH(W$1,'Conversion Range'!$A$2:$A$35,0))+(('Legend Attributes'!W29-1)/19)*(INDEX('Conversion Range'!$D$2:$D$35,MATCH(W$1,'Conversion Range'!$A$2:$A$35,0))-INDEX('Conversion Range'!$C$2:$C$35,MATCH(W$1,'Conversion Range'!$A$2:$A$35,0)))),3))</f>
        <v>0.105</v>
      </c>
      <c r="X29" s="15">
        <f>IF('Legend Attributes'!X29=0,0,ROUND(IF(INDEX('Conversion Range'!$E$2:$E$35,MATCH(X$1,'Conversion Range'!$A$2:$A$35,0))=1,INDEX('Conversion Range'!$D$2:$D$35,MATCH(X$1,'Conversion Range'!$A$2:$A$35,0))-(('Legend Attributes'!X29-1)/19)*(INDEX('Conversion Range'!$D$2:$D$35,MATCH(X$1,'Conversion Range'!$A$2:$A$35,0))-INDEX('Conversion Range'!$C$2:$C$35,MATCH(X$1,'Conversion Range'!$A$2:$A$35,0))),INDEX('Conversion Range'!$C$2:$C$35,MATCH(X$1,'Conversion Range'!$A$2:$A$35,0))+(('Legend Attributes'!X29-1)/19)*(INDEX('Conversion Range'!$D$2:$D$35,MATCH(X$1,'Conversion Range'!$A$2:$A$35,0))-INDEX('Conversion Range'!$C$2:$C$35,MATCH(X$1,'Conversion Range'!$A$2:$A$35,0)))),3))</f>
        <v>0.52100000000000002</v>
      </c>
      <c r="Y29" s="15">
        <f>IF('Legend Attributes'!Y29=0,0,ROUND(IF(INDEX('Conversion Range'!$E$2:$E$35,MATCH(Y$1,'Conversion Range'!$A$2:$A$35,0))=1,INDEX('Conversion Range'!$D$2:$D$35,MATCH(Y$1,'Conversion Range'!$A$2:$A$35,0))-(('Legend Attributes'!Y29-1)/19)*(INDEX('Conversion Range'!$D$2:$D$35,MATCH(Y$1,'Conversion Range'!$A$2:$A$35,0))-INDEX('Conversion Range'!$C$2:$C$35,MATCH(Y$1,'Conversion Range'!$A$2:$A$35,0))),INDEX('Conversion Range'!$C$2:$C$35,MATCH(Y$1,'Conversion Range'!$A$2:$A$35,0))+(('Legend Attributes'!Y29-1)/19)*(INDEX('Conversion Range'!$D$2:$D$35,MATCH(Y$1,'Conversion Range'!$A$2:$A$35,0))-INDEX('Conversion Range'!$C$2:$C$35,MATCH(Y$1,'Conversion Range'!$A$2:$A$35,0)))),3))</f>
        <v>0.33200000000000002</v>
      </c>
      <c r="Z29" s="15">
        <f>IF('Legend Attributes'!Z29=0,0,ROUND(IF(INDEX('Conversion Range'!$E$2:$E$35,MATCH(Z$1,'Conversion Range'!$A$2:$A$35,0))=1,INDEX('Conversion Range'!$D$2:$D$35,MATCH(Z$1,'Conversion Range'!$A$2:$A$35,0))-(('Legend Attributes'!Z29-1)/19)*(INDEX('Conversion Range'!$D$2:$D$35,MATCH(Z$1,'Conversion Range'!$A$2:$A$35,0))-INDEX('Conversion Range'!$C$2:$C$35,MATCH(Z$1,'Conversion Range'!$A$2:$A$35,0))),INDEX('Conversion Range'!$C$2:$C$35,MATCH(Z$1,'Conversion Range'!$A$2:$A$35,0))+(('Legend Attributes'!Z29-1)/19)*(INDEX('Conversion Range'!$D$2:$D$35,MATCH(Z$1,'Conversion Range'!$A$2:$A$35,0))-INDEX('Conversion Range'!$C$2:$C$35,MATCH(Z$1,'Conversion Range'!$A$2:$A$35,0)))),3))</f>
        <v>6.7889999999999997</v>
      </c>
      <c r="AA29" s="15">
        <f>IF('Legend Attributes'!AA29=0,0,ROUND(IF(INDEX('Conversion Range'!$E$2:$E$35,MATCH(AA$1,'Conversion Range'!$A$2:$A$35,0))=1,INDEX('Conversion Range'!$D$2:$D$35,MATCH(AA$1,'Conversion Range'!$A$2:$A$35,0))-(('Legend Attributes'!AA29-1)/19)*(INDEX('Conversion Range'!$D$2:$D$35,MATCH(AA$1,'Conversion Range'!$A$2:$A$35,0))-INDEX('Conversion Range'!$C$2:$C$35,MATCH(AA$1,'Conversion Range'!$A$2:$A$35,0))),INDEX('Conversion Range'!$C$2:$C$35,MATCH(AA$1,'Conversion Range'!$A$2:$A$35,0))+(('Legend Attributes'!AA29-1)/19)*(INDEX('Conversion Range'!$D$2:$D$35,MATCH(AA$1,'Conversion Range'!$A$2:$A$35,0))-INDEX('Conversion Range'!$C$2:$C$35,MATCH(AA$1,'Conversion Range'!$A$2:$A$35,0)))),3))</f>
        <v>1.7999999999999999E-2</v>
      </c>
      <c r="AB29" s="15">
        <f>IF('Legend Attributes'!AB29=0,0,ROUND(IF(INDEX('Conversion Range'!$E$2:$E$35,MATCH(AB$1,'Conversion Range'!$A$2:$A$35,0))=1,INDEX('Conversion Range'!$D$2:$D$35,MATCH(AB$1,'Conversion Range'!$A$2:$A$35,0))-(('Legend Attributes'!AB29-1)/19)*(INDEX('Conversion Range'!$D$2:$D$35,MATCH(AB$1,'Conversion Range'!$A$2:$A$35,0))-INDEX('Conversion Range'!$C$2:$C$35,MATCH(AB$1,'Conversion Range'!$A$2:$A$35,0))),INDEX('Conversion Range'!$C$2:$C$35,MATCH(AB$1,'Conversion Range'!$A$2:$A$35,0))+(('Legend Attributes'!AB29-1)/19)*(INDEX('Conversion Range'!$D$2:$D$35,MATCH(AB$1,'Conversion Range'!$A$2:$A$35,0))-INDEX('Conversion Range'!$C$2:$C$35,MATCH(AB$1,'Conversion Range'!$A$2:$A$35,0)))),3))</f>
        <v>0.57099999999999995</v>
      </c>
      <c r="AC29" s="15">
        <f>IF('Legend Attributes'!AC29=0,0,ROUND(IF(INDEX('Conversion Range'!$E$2:$E$35,MATCH(AC$1,'Conversion Range'!$A$2:$A$35,0))=1,INDEX('Conversion Range'!$D$2:$D$35,MATCH(AC$1,'Conversion Range'!$A$2:$A$35,0))-(('Legend Attributes'!AC29-1)/19)*(INDEX('Conversion Range'!$D$2:$D$35,MATCH(AC$1,'Conversion Range'!$A$2:$A$35,0))-INDEX('Conversion Range'!$C$2:$C$35,MATCH(AC$1,'Conversion Range'!$A$2:$A$35,0))),INDEX('Conversion Range'!$C$2:$C$35,MATCH(AC$1,'Conversion Range'!$A$2:$A$35,0))+(('Legend Attributes'!AC29-1)/19)*(INDEX('Conversion Range'!$D$2:$D$35,MATCH(AC$1,'Conversion Range'!$A$2:$A$35,0))-INDEX('Conversion Range'!$C$2:$C$35,MATCH(AC$1,'Conversion Range'!$A$2:$A$35,0)))),3))</f>
        <v>0.38600000000000001</v>
      </c>
      <c r="AD29" s="15">
        <f>IF('Legend Attributes'!AD29=0,0,ROUND(IF(INDEX('Conversion Range'!$E$2:$E$35,MATCH(AD$1,'Conversion Range'!$A$2:$A$35,0))=1,INDEX('Conversion Range'!$D$2:$D$35,MATCH(AD$1,'Conversion Range'!$A$2:$A$35,0))-(('Legend Attributes'!AD29-1)/19)*(INDEX('Conversion Range'!$D$2:$D$35,MATCH(AD$1,'Conversion Range'!$A$2:$A$35,0))-INDEX('Conversion Range'!$C$2:$C$35,MATCH(AD$1,'Conversion Range'!$A$2:$A$35,0))),INDEX('Conversion Range'!$C$2:$C$35,MATCH(AD$1,'Conversion Range'!$A$2:$A$35,0))+(('Legend Attributes'!AD29-1)/19)*(INDEX('Conversion Range'!$D$2:$D$35,MATCH(AD$1,'Conversion Range'!$A$2:$A$35,0))-INDEX('Conversion Range'!$C$2:$C$35,MATCH(AD$1,'Conversion Range'!$A$2:$A$35,0)))),3))</f>
        <v>0</v>
      </c>
      <c r="AE29" s="15">
        <f>IF('Legend Attributes'!AE29=0,0,ROUND(IF(INDEX('Conversion Range'!$E$2:$E$35,MATCH(AE$1,'Conversion Range'!$A$2:$A$35,0))=1,INDEX('Conversion Range'!$D$2:$D$35,MATCH(AE$1,'Conversion Range'!$A$2:$A$35,0))-(('Legend Attributes'!AE29-1)/19)*(INDEX('Conversion Range'!$D$2:$D$35,MATCH(AE$1,'Conversion Range'!$A$2:$A$35,0))-INDEX('Conversion Range'!$C$2:$C$35,MATCH(AE$1,'Conversion Range'!$A$2:$A$35,0))),INDEX('Conversion Range'!$C$2:$C$35,MATCH(AE$1,'Conversion Range'!$A$2:$A$35,0))+(('Legend Attributes'!AE29-1)/19)*(INDEX('Conversion Range'!$D$2:$D$35,MATCH(AE$1,'Conversion Range'!$A$2:$A$35,0))-INDEX('Conversion Range'!$C$2:$C$35,MATCH(AE$1,'Conversion Range'!$A$2:$A$35,0)))),3))</f>
        <v>0</v>
      </c>
      <c r="AF29" s="15">
        <f>IF('Legend Attributes'!AF29=0,0,ROUND(IF(INDEX('Conversion Range'!$E$2:$E$35,MATCH(AF$1,'Conversion Range'!$A$2:$A$35,0))=1,INDEX('Conversion Range'!$D$2:$D$35,MATCH(AF$1,'Conversion Range'!$A$2:$A$35,0))-(('Legend Attributes'!AF29-1)/19)*(INDEX('Conversion Range'!$D$2:$D$35,MATCH(AF$1,'Conversion Range'!$A$2:$A$35,0))-INDEX('Conversion Range'!$C$2:$C$35,MATCH(AF$1,'Conversion Range'!$A$2:$A$35,0))),INDEX('Conversion Range'!$C$2:$C$35,MATCH(AF$1,'Conversion Range'!$A$2:$A$35,0))+(('Legend Attributes'!AF29-1)/19)*(INDEX('Conversion Range'!$D$2:$D$35,MATCH(AF$1,'Conversion Range'!$A$2:$A$35,0))-INDEX('Conversion Range'!$C$2:$C$35,MATCH(AF$1,'Conversion Range'!$A$2:$A$35,0)))),3))</f>
        <v>0</v>
      </c>
      <c r="AG29" s="15">
        <f>IF('Legend Attributes'!AG29=0,0,ROUND(IF(INDEX('Conversion Range'!$E$2:$E$35,MATCH(AG$1,'Conversion Range'!$A$2:$A$35,0))=1,INDEX('Conversion Range'!$D$2:$D$35,MATCH(AG$1,'Conversion Range'!$A$2:$A$35,0))-(('Legend Attributes'!AG29-1)/19)*(INDEX('Conversion Range'!$D$2:$D$35,MATCH(AG$1,'Conversion Range'!$A$2:$A$35,0))-INDEX('Conversion Range'!$C$2:$C$35,MATCH(AG$1,'Conversion Range'!$A$2:$A$35,0))),INDEX('Conversion Range'!$C$2:$C$35,MATCH(AG$1,'Conversion Range'!$A$2:$A$35,0))+(('Legend Attributes'!AG29-1)/19)*(INDEX('Conversion Range'!$D$2:$D$35,MATCH(AG$1,'Conversion Range'!$A$2:$A$35,0))-INDEX('Conversion Range'!$C$2:$C$35,MATCH(AG$1,'Conversion Range'!$A$2:$A$35,0)))),3))</f>
        <v>1.1319999999999999</v>
      </c>
      <c r="AH29" s="15">
        <f>IF('Legend Attributes'!AH29=0,0,ROUND(IF(INDEX('Conversion Range'!$E$2:$E$35,MATCH(AH$1,'Conversion Range'!$A$2:$A$35,0))=1,INDEX('Conversion Range'!$D$2:$D$35,MATCH(AH$1,'Conversion Range'!$A$2:$A$35,0))-(('Legend Attributes'!AH29-1)/19)*(INDEX('Conversion Range'!$D$2:$D$35,MATCH(AH$1,'Conversion Range'!$A$2:$A$35,0))-INDEX('Conversion Range'!$C$2:$C$35,MATCH(AH$1,'Conversion Range'!$A$2:$A$35,0))),INDEX('Conversion Range'!$C$2:$C$35,MATCH(AH$1,'Conversion Range'!$A$2:$A$35,0))+(('Legend Attributes'!AH29-1)/19)*(INDEX('Conversion Range'!$D$2:$D$35,MATCH(AH$1,'Conversion Range'!$A$2:$A$35,0))-INDEX('Conversion Range'!$C$2:$C$35,MATCH(AH$1,'Conversion Range'!$A$2:$A$35,0)))),3))</f>
        <v>0.17799999999999999</v>
      </c>
      <c r="AI29" s="15">
        <f>IF('Legend Attributes'!AI29=0,0,ROUND(IF(INDEX('Conversion Range'!$E$2:$E$35,MATCH(AI$1,'Conversion Range'!$A$2:$A$35,0))=1,INDEX('Conversion Range'!$D$2:$D$35,MATCH(AI$1,'Conversion Range'!$A$2:$A$35,0))-(('Legend Attributes'!AI29-1)/19)*(INDEX('Conversion Range'!$D$2:$D$35,MATCH(AI$1,'Conversion Range'!$A$2:$A$35,0))-INDEX('Conversion Range'!$C$2:$C$35,MATCH(AI$1,'Conversion Range'!$A$2:$A$35,0))),INDEX('Conversion Range'!$C$2:$C$35,MATCH(AI$1,'Conversion Range'!$A$2:$A$35,0))+(('Legend Attributes'!AI29-1)/19)*(INDEX('Conversion Range'!$D$2:$D$35,MATCH(AI$1,'Conversion Range'!$A$2:$A$35,0))-INDEX('Conversion Range'!$C$2:$C$35,MATCH(AI$1,'Conversion Range'!$A$2:$A$35,0)))),3))</f>
        <v>4.3999999999999997E-2</v>
      </c>
      <c r="AJ29" s="15">
        <f>IF('Legend Attributes'!AJ29=0,0,ROUND(IF(INDEX('Conversion Range'!$E$2:$E$35,MATCH(AJ$1,'Conversion Range'!$A$2:$A$35,0))=1,INDEX('Conversion Range'!$D$2:$D$35,MATCH(AJ$1,'Conversion Range'!$A$2:$A$35,0))-(('Legend Attributes'!AJ29-1)/19)*(INDEX('Conversion Range'!$D$2:$D$35,MATCH(AJ$1,'Conversion Range'!$A$2:$A$35,0))-INDEX('Conversion Range'!$C$2:$C$35,MATCH(AJ$1,'Conversion Range'!$A$2:$A$35,0))),INDEX('Conversion Range'!$C$2:$C$35,MATCH(AJ$1,'Conversion Range'!$A$2:$A$35,0))+(('Legend Attributes'!AJ29-1)/19)*(INDEX('Conversion Range'!$D$2:$D$35,MATCH(AJ$1,'Conversion Range'!$A$2:$A$35,0))-INDEX('Conversion Range'!$C$2:$C$35,MATCH(AJ$1,'Conversion Range'!$A$2:$A$35,0)))),3))</f>
        <v>7.726</v>
      </c>
    </row>
    <row r="30" spans="1:36" x14ac:dyDescent="0.35">
      <c r="A30" s="14" t="str">
        <f>'Legend Attributes'!A30</f>
        <v>Olivier Giroud</v>
      </c>
      <c r="B30" s="15" t="str">
        <f>'Legend Attributes'!B30</f>
        <v>ST</v>
      </c>
      <c r="C30" s="15">
        <f>IF('Legend Attributes'!C30=0,0,ROUND(IF(INDEX('Conversion Range'!$E$2:$E$35,MATCH(C$1,'Conversion Range'!$A$2:$A$35,0))=1,INDEX('Conversion Range'!$D$2:$D$35,MATCH(C$1,'Conversion Range'!$A$2:$A$35,0))-(('Legend Attributes'!C30-1)/19)*(INDEX('Conversion Range'!$D$2:$D$35,MATCH(C$1,'Conversion Range'!$A$2:$A$35,0))-INDEX('Conversion Range'!$C$2:$C$35,MATCH(C$1,'Conversion Range'!$A$2:$A$35,0))),INDEX('Conversion Range'!$C$2:$C$35,MATCH(C$1,'Conversion Range'!$A$2:$A$35,0))+(('Legend Attributes'!C30-1)/19)*(INDEX('Conversion Range'!$D$2:$D$35,MATCH(C$1,'Conversion Range'!$A$2:$A$35,0))-INDEX('Conversion Range'!$C$2:$C$35,MATCH(C$1,'Conversion Range'!$A$2:$A$35,0)))),3))</f>
        <v>0.54400000000000004</v>
      </c>
      <c r="D30" s="15">
        <f>IF('Legend Attributes'!D30=0,0,ROUND(IF(INDEX('Conversion Range'!$E$2:$E$35,MATCH(D$1,'Conversion Range'!$A$2:$A$35,0))=1,INDEX('Conversion Range'!$D$2:$D$35,MATCH(D$1,'Conversion Range'!$A$2:$A$35,0))-(('Legend Attributes'!D30-1)/19)*(INDEX('Conversion Range'!$D$2:$D$35,MATCH(D$1,'Conversion Range'!$A$2:$A$35,0))-INDEX('Conversion Range'!$C$2:$C$35,MATCH(D$1,'Conversion Range'!$A$2:$A$35,0))),INDEX('Conversion Range'!$C$2:$C$35,MATCH(D$1,'Conversion Range'!$A$2:$A$35,0))+(('Legend Attributes'!D30-1)/19)*(INDEX('Conversion Range'!$D$2:$D$35,MATCH(D$1,'Conversion Range'!$A$2:$A$35,0))-INDEX('Conversion Range'!$C$2:$C$35,MATCH(D$1,'Conversion Range'!$A$2:$A$35,0)))),3))</f>
        <v>0.443</v>
      </c>
      <c r="E30" s="15">
        <f>IF('Legend Attributes'!E30=0,0,ROUND(IF(INDEX('Conversion Range'!$E$2:$E$35,MATCH(E$1,'Conversion Range'!$A$2:$A$35,0))=1,INDEX('Conversion Range'!$D$2:$D$35,MATCH(E$1,'Conversion Range'!$A$2:$A$35,0))-(('Legend Attributes'!E30-1)/19)*(INDEX('Conversion Range'!$D$2:$D$35,MATCH(E$1,'Conversion Range'!$A$2:$A$35,0))-INDEX('Conversion Range'!$C$2:$C$35,MATCH(E$1,'Conversion Range'!$A$2:$A$35,0))),INDEX('Conversion Range'!$C$2:$C$35,MATCH(E$1,'Conversion Range'!$A$2:$A$35,0))+(('Legend Attributes'!E30-1)/19)*(INDEX('Conversion Range'!$D$2:$D$35,MATCH(E$1,'Conversion Range'!$A$2:$A$35,0))-INDEX('Conversion Range'!$C$2:$C$35,MATCH(E$1,'Conversion Range'!$A$2:$A$35,0)))),3))</f>
        <v>0.20899999999999999</v>
      </c>
      <c r="F30" s="15">
        <f>IF('Legend Attributes'!F30=0,0,ROUND(IF(INDEX('Conversion Range'!$E$2:$E$35,MATCH(F$1,'Conversion Range'!$A$2:$A$35,0))=1,INDEX('Conversion Range'!$D$2:$D$35,MATCH(F$1,'Conversion Range'!$A$2:$A$35,0))-(('Legend Attributes'!F30-1)/19)*(INDEX('Conversion Range'!$D$2:$D$35,MATCH(F$1,'Conversion Range'!$A$2:$A$35,0))-INDEX('Conversion Range'!$C$2:$C$35,MATCH(F$1,'Conversion Range'!$A$2:$A$35,0))),INDEX('Conversion Range'!$C$2:$C$35,MATCH(F$1,'Conversion Range'!$A$2:$A$35,0))+(('Legend Attributes'!F30-1)/19)*(INDEX('Conversion Range'!$D$2:$D$35,MATCH(F$1,'Conversion Range'!$A$2:$A$35,0))-INDEX('Conversion Range'!$C$2:$C$35,MATCH(F$1,'Conversion Range'!$A$2:$A$35,0)))),3))</f>
        <v>1.974</v>
      </c>
      <c r="G30" s="15">
        <f>IF('Legend Attributes'!G30=0,0,ROUND(IF(INDEX('Conversion Range'!$E$2:$E$35,MATCH(G$1,'Conversion Range'!$A$2:$A$35,0))=1,INDEX('Conversion Range'!$D$2:$D$35,MATCH(G$1,'Conversion Range'!$A$2:$A$35,0))-(('Legend Attributes'!G30-1)/19)*(INDEX('Conversion Range'!$D$2:$D$35,MATCH(G$1,'Conversion Range'!$A$2:$A$35,0))-INDEX('Conversion Range'!$C$2:$C$35,MATCH(G$1,'Conversion Range'!$A$2:$A$35,0))),INDEX('Conversion Range'!$C$2:$C$35,MATCH(G$1,'Conversion Range'!$A$2:$A$35,0))+(('Legend Attributes'!G30-1)/19)*(INDEX('Conversion Range'!$D$2:$D$35,MATCH(G$1,'Conversion Range'!$A$2:$A$35,0))-INDEX('Conversion Range'!$C$2:$C$35,MATCH(G$1,'Conversion Range'!$A$2:$A$35,0)))),3))</f>
        <v>1.1319999999999999</v>
      </c>
      <c r="H30" s="15">
        <f>IF('Legend Attributes'!H30=0,0,ROUND(IF(INDEX('Conversion Range'!$E$2:$E$35,MATCH(H$1,'Conversion Range'!$A$2:$A$35,0))=1,INDEX('Conversion Range'!$D$2:$D$35,MATCH(H$1,'Conversion Range'!$A$2:$A$35,0))-(('Legend Attributes'!H30-1)/19)*(INDEX('Conversion Range'!$D$2:$D$35,MATCH(H$1,'Conversion Range'!$A$2:$A$35,0))-INDEX('Conversion Range'!$C$2:$C$35,MATCH(H$1,'Conversion Range'!$A$2:$A$35,0))),INDEX('Conversion Range'!$C$2:$C$35,MATCH(H$1,'Conversion Range'!$A$2:$A$35,0))+(('Legend Attributes'!H30-1)/19)*(INDEX('Conversion Range'!$D$2:$D$35,MATCH(H$1,'Conversion Range'!$A$2:$A$35,0))-INDEX('Conversion Range'!$C$2:$C$35,MATCH(H$1,'Conversion Range'!$A$2:$A$35,0)))),3))</f>
        <v>0.68400000000000005</v>
      </c>
      <c r="I30" s="15">
        <f>IF('Legend Attributes'!I30=0,0,ROUND(IF(INDEX('Conversion Range'!$E$2:$E$35,MATCH(I$1,'Conversion Range'!$A$2:$A$35,0))=1,INDEX('Conversion Range'!$D$2:$D$35,MATCH(I$1,'Conversion Range'!$A$2:$A$35,0))-(('Legend Attributes'!I30-1)/19)*(INDEX('Conversion Range'!$D$2:$D$35,MATCH(I$1,'Conversion Range'!$A$2:$A$35,0))-INDEX('Conversion Range'!$C$2:$C$35,MATCH(I$1,'Conversion Range'!$A$2:$A$35,0))),INDEX('Conversion Range'!$C$2:$C$35,MATCH(I$1,'Conversion Range'!$A$2:$A$35,0))+(('Legend Attributes'!I30-1)/19)*(INDEX('Conversion Range'!$D$2:$D$35,MATCH(I$1,'Conversion Range'!$A$2:$A$35,0))-INDEX('Conversion Range'!$C$2:$C$35,MATCH(I$1,'Conversion Range'!$A$2:$A$35,0)))),3))</f>
        <v>1.0209999999999999</v>
      </c>
      <c r="J30" s="15">
        <f>IF('Legend Attributes'!J30=0,0,ROUND(IF(INDEX('Conversion Range'!$E$2:$E$35,MATCH(J$1,'Conversion Range'!$A$2:$A$35,0))=1,INDEX('Conversion Range'!$D$2:$D$35,MATCH(J$1,'Conversion Range'!$A$2:$A$35,0))-(('Legend Attributes'!J30-1)/19)*(INDEX('Conversion Range'!$D$2:$D$35,MATCH(J$1,'Conversion Range'!$A$2:$A$35,0))-INDEX('Conversion Range'!$C$2:$C$35,MATCH(J$1,'Conversion Range'!$A$2:$A$35,0))),INDEX('Conversion Range'!$C$2:$C$35,MATCH(J$1,'Conversion Range'!$A$2:$A$35,0))+(('Legend Attributes'!J30-1)/19)*(INDEX('Conversion Range'!$D$2:$D$35,MATCH(J$1,'Conversion Range'!$A$2:$A$35,0))-INDEX('Conversion Range'!$C$2:$C$35,MATCH(J$1,'Conversion Range'!$A$2:$A$35,0)))),3))</f>
        <v>0.68899999999999995</v>
      </c>
      <c r="K30" s="15">
        <f>IF('Legend Attributes'!K30=0,0,ROUND(IF(INDEX('Conversion Range'!$E$2:$E$35,MATCH(K$1,'Conversion Range'!$A$2:$A$35,0))=1,INDEX('Conversion Range'!$D$2:$D$35,MATCH(K$1,'Conversion Range'!$A$2:$A$35,0))-(('Legend Attributes'!K30-1)/19)*(INDEX('Conversion Range'!$D$2:$D$35,MATCH(K$1,'Conversion Range'!$A$2:$A$35,0))-INDEX('Conversion Range'!$C$2:$C$35,MATCH(K$1,'Conversion Range'!$A$2:$A$35,0))),INDEX('Conversion Range'!$C$2:$C$35,MATCH(K$1,'Conversion Range'!$A$2:$A$35,0))+(('Legend Attributes'!K30-1)/19)*(INDEX('Conversion Range'!$D$2:$D$35,MATCH(K$1,'Conversion Range'!$A$2:$A$35,0))-INDEX('Conversion Range'!$C$2:$C$35,MATCH(K$1,'Conversion Range'!$A$2:$A$35,0)))),3))</f>
        <v>0.44700000000000001</v>
      </c>
      <c r="L30" s="15">
        <f>IF('Legend Attributes'!L30=0,0,ROUND(IF(INDEX('Conversion Range'!$E$2:$E$35,MATCH(L$1,'Conversion Range'!$A$2:$A$35,0))=1,INDEX('Conversion Range'!$D$2:$D$35,MATCH(L$1,'Conversion Range'!$A$2:$A$35,0))-(('Legend Attributes'!L30-1)/19)*(INDEX('Conversion Range'!$D$2:$D$35,MATCH(L$1,'Conversion Range'!$A$2:$A$35,0))-INDEX('Conversion Range'!$C$2:$C$35,MATCH(L$1,'Conversion Range'!$A$2:$A$35,0))),INDEX('Conversion Range'!$C$2:$C$35,MATCH(L$1,'Conversion Range'!$A$2:$A$35,0))+(('Legend Attributes'!L30-1)/19)*(INDEX('Conversion Range'!$D$2:$D$35,MATCH(L$1,'Conversion Range'!$A$2:$A$35,0))-INDEX('Conversion Range'!$C$2:$C$35,MATCH(L$1,'Conversion Range'!$A$2:$A$35,0)))),3))</f>
        <v>0.32600000000000001</v>
      </c>
      <c r="M30" s="15">
        <f>IF('Legend Attributes'!M30=0,0,ROUND(IF(INDEX('Conversion Range'!$E$2:$E$35,MATCH(M$1,'Conversion Range'!$A$2:$A$35,0))=1,INDEX('Conversion Range'!$D$2:$D$35,MATCH(M$1,'Conversion Range'!$A$2:$A$35,0))-(('Legend Attributes'!M30-1)/19)*(INDEX('Conversion Range'!$D$2:$D$35,MATCH(M$1,'Conversion Range'!$A$2:$A$35,0))-INDEX('Conversion Range'!$C$2:$C$35,MATCH(M$1,'Conversion Range'!$A$2:$A$35,0))),INDEX('Conversion Range'!$C$2:$C$35,MATCH(M$1,'Conversion Range'!$A$2:$A$35,0))+(('Legend Attributes'!M30-1)/19)*(INDEX('Conversion Range'!$D$2:$D$35,MATCH(M$1,'Conversion Range'!$A$2:$A$35,0))-INDEX('Conversion Range'!$C$2:$C$35,MATCH(M$1,'Conversion Range'!$A$2:$A$35,0)))),3))</f>
        <v>0.16800000000000001</v>
      </c>
      <c r="N30" s="15">
        <f>IF('Legend Attributes'!N30=0,0,ROUND(IF(INDEX('Conversion Range'!$E$2:$E$35,MATCH(N$1,'Conversion Range'!$A$2:$A$35,0))=1,INDEX('Conversion Range'!$D$2:$D$35,MATCH(N$1,'Conversion Range'!$A$2:$A$35,0))-(('Legend Attributes'!N30-1)/19)*(INDEX('Conversion Range'!$D$2:$D$35,MATCH(N$1,'Conversion Range'!$A$2:$A$35,0))-INDEX('Conversion Range'!$C$2:$C$35,MATCH(N$1,'Conversion Range'!$A$2:$A$35,0))),INDEX('Conversion Range'!$C$2:$C$35,MATCH(N$1,'Conversion Range'!$A$2:$A$35,0))+(('Legend Attributes'!N30-1)/19)*(INDEX('Conversion Range'!$D$2:$D$35,MATCH(N$1,'Conversion Range'!$A$2:$A$35,0))-INDEX('Conversion Range'!$C$2:$C$35,MATCH(N$1,'Conversion Range'!$A$2:$A$35,0)))),3))</f>
        <v>3.9740000000000002</v>
      </c>
      <c r="O30" s="15">
        <f>IF('Legend Attributes'!O30=0,0,ROUND(IF(INDEX('Conversion Range'!$E$2:$E$35,MATCH(O$1,'Conversion Range'!$A$2:$A$35,0))=1,INDEX('Conversion Range'!$D$2:$D$35,MATCH(O$1,'Conversion Range'!$A$2:$A$35,0))-(('Legend Attributes'!O30-1)/19)*(INDEX('Conversion Range'!$D$2:$D$35,MATCH(O$1,'Conversion Range'!$A$2:$A$35,0))-INDEX('Conversion Range'!$C$2:$C$35,MATCH(O$1,'Conversion Range'!$A$2:$A$35,0))),INDEX('Conversion Range'!$C$2:$C$35,MATCH(O$1,'Conversion Range'!$A$2:$A$35,0))+(('Legend Attributes'!O30-1)/19)*(INDEX('Conversion Range'!$D$2:$D$35,MATCH(O$1,'Conversion Range'!$A$2:$A$35,0))-INDEX('Conversion Range'!$C$2:$C$35,MATCH(O$1,'Conversion Range'!$A$2:$A$35,0)))),3))</f>
        <v>0.58899999999999997</v>
      </c>
      <c r="P30" s="15">
        <f>IF('Legend Attributes'!P30=0,0,ROUND(IF(INDEX('Conversion Range'!$E$2:$E$35,MATCH(P$1,'Conversion Range'!$A$2:$A$35,0))=1,INDEX('Conversion Range'!$D$2:$D$35,MATCH(P$1,'Conversion Range'!$A$2:$A$35,0))-(('Legend Attributes'!P30-1)/19)*(INDEX('Conversion Range'!$D$2:$D$35,MATCH(P$1,'Conversion Range'!$A$2:$A$35,0))-INDEX('Conversion Range'!$C$2:$C$35,MATCH(P$1,'Conversion Range'!$A$2:$A$35,0))),INDEX('Conversion Range'!$C$2:$C$35,MATCH(P$1,'Conversion Range'!$A$2:$A$35,0))+(('Legend Attributes'!P30-1)/19)*(INDEX('Conversion Range'!$D$2:$D$35,MATCH(P$1,'Conversion Range'!$A$2:$A$35,0))-INDEX('Conversion Range'!$C$2:$C$35,MATCH(P$1,'Conversion Range'!$A$2:$A$35,0)))),3))</f>
        <v>56.052999999999997</v>
      </c>
      <c r="Q30" s="15">
        <f>IF('Legend Attributes'!Q30=0,0,ROUND(IF(INDEX('Conversion Range'!$E$2:$E$35,MATCH(Q$1,'Conversion Range'!$A$2:$A$35,0))=1,INDEX('Conversion Range'!$D$2:$D$35,MATCH(Q$1,'Conversion Range'!$A$2:$A$35,0))-(('Legend Attributes'!Q30-1)/19)*(INDEX('Conversion Range'!$D$2:$D$35,MATCH(Q$1,'Conversion Range'!$A$2:$A$35,0))-INDEX('Conversion Range'!$C$2:$C$35,MATCH(Q$1,'Conversion Range'!$A$2:$A$35,0))),INDEX('Conversion Range'!$C$2:$C$35,MATCH(Q$1,'Conversion Range'!$A$2:$A$35,0))+(('Legend Attributes'!Q30-1)/19)*(INDEX('Conversion Range'!$D$2:$D$35,MATCH(Q$1,'Conversion Range'!$A$2:$A$35,0))-INDEX('Conversion Range'!$C$2:$C$35,MATCH(Q$1,'Conversion Range'!$A$2:$A$35,0)))),3))</f>
        <v>52.368000000000002</v>
      </c>
      <c r="R30" s="15">
        <f>IF('Legend Attributes'!R30=0,0,ROUND(IF(INDEX('Conversion Range'!$E$2:$E$35,MATCH(R$1,'Conversion Range'!$A$2:$A$35,0))=1,INDEX('Conversion Range'!$D$2:$D$35,MATCH(R$1,'Conversion Range'!$A$2:$A$35,0))-(('Legend Attributes'!R30-1)/19)*(INDEX('Conversion Range'!$D$2:$D$35,MATCH(R$1,'Conversion Range'!$A$2:$A$35,0))-INDEX('Conversion Range'!$C$2:$C$35,MATCH(R$1,'Conversion Range'!$A$2:$A$35,0))),INDEX('Conversion Range'!$C$2:$C$35,MATCH(R$1,'Conversion Range'!$A$2:$A$35,0))+(('Legend Attributes'!R30-1)/19)*(INDEX('Conversion Range'!$D$2:$D$35,MATCH(R$1,'Conversion Range'!$A$2:$A$35,0))-INDEX('Conversion Range'!$C$2:$C$35,MATCH(R$1,'Conversion Range'!$A$2:$A$35,0)))),3))</f>
        <v>78.158000000000001</v>
      </c>
      <c r="S30" s="15">
        <f>IF('Legend Attributes'!S30=0,0,ROUND(IF(INDEX('Conversion Range'!$E$2:$E$35,MATCH(S$1,'Conversion Range'!$A$2:$A$35,0))=1,INDEX('Conversion Range'!$D$2:$D$35,MATCH(S$1,'Conversion Range'!$A$2:$A$35,0))-(('Legend Attributes'!S30-1)/19)*(INDEX('Conversion Range'!$D$2:$D$35,MATCH(S$1,'Conversion Range'!$A$2:$A$35,0))-INDEX('Conversion Range'!$C$2:$C$35,MATCH(S$1,'Conversion Range'!$A$2:$A$35,0))),INDEX('Conversion Range'!$C$2:$C$35,MATCH(S$1,'Conversion Range'!$A$2:$A$35,0))+(('Legend Attributes'!S30-1)/19)*(INDEX('Conversion Range'!$D$2:$D$35,MATCH(S$1,'Conversion Range'!$A$2:$A$35,0))-INDEX('Conversion Range'!$C$2:$C$35,MATCH(S$1,'Conversion Range'!$A$2:$A$35,0)))),3))</f>
        <v>1.163</v>
      </c>
      <c r="T30" s="15">
        <f>IF('Legend Attributes'!T30=0,0,ROUND(IF(INDEX('Conversion Range'!$E$2:$E$35,MATCH(T$1,'Conversion Range'!$A$2:$A$35,0))=1,INDEX('Conversion Range'!$D$2:$D$35,MATCH(T$1,'Conversion Range'!$A$2:$A$35,0))-(('Legend Attributes'!T30-1)/19)*(INDEX('Conversion Range'!$D$2:$D$35,MATCH(T$1,'Conversion Range'!$A$2:$A$35,0))-INDEX('Conversion Range'!$C$2:$C$35,MATCH(T$1,'Conversion Range'!$A$2:$A$35,0))),INDEX('Conversion Range'!$C$2:$C$35,MATCH(T$1,'Conversion Range'!$A$2:$A$35,0))+(('Legend Attributes'!T30-1)/19)*(INDEX('Conversion Range'!$D$2:$D$35,MATCH(T$1,'Conversion Range'!$A$2:$A$35,0))-INDEX('Conversion Range'!$C$2:$C$35,MATCH(T$1,'Conversion Range'!$A$2:$A$35,0)))),3))</f>
        <v>36.316000000000003</v>
      </c>
      <c r="U30" s="15">
        <f>IF('Legend Attributes'!U30=0,0,ROUND(IF(INDEX('Conversion Range'!$E$2:$E$35,MATCH(U$1,'Conversion Range'!$A$2:$A$35,0))=1,INDEX('Conversion Range'!$D$2:$D$35,MATCH(U$1,'Conversion Range'!$A$2:$A$35,0))-(('Legend Attributes'!U30-1)/19)*(INDEX('Conversion Range'!$D$2:$D$35,MATCH(U$1,'Conversion Range'!$A$2:$A$35,0))-INDEX('Conversion Range'!$C$2:$C$35,MATCH(U$1,'Conversion Range'!$A$2:$A$35,0))),INDEX('Conversion Range'!$C$2:$C$35,MATCH(U$1,'Conversion Range'!$A$2:$A$35,0))+(('Legend Attributes'!U30-1)/19)*(INDEX('Conversion Range'!$D$2:$D$35,MATCH(U$1,'Conversion Range'!$A$2:$A$35,0))-INDEX('Conversion Range'!$C$2:$C$35,MATCH(U$1,'Conversion Range'!$A$2:$A$35,0)))),3))</f>
        <v>4.4050000000000002</v>
      </c>
      <c r="V30" s="15">
        <f>IF('Legend Attributes'!V30=0,0,ROUND(IF(INDEX('Conversion Range'!$E$2:$E$35,MATCH(V$1,'Conversion Range'!$A$2:$A$35,0))=1,INDEX('Conversion Range'!$D$2:$D$35,MATCH(V$1,'Conversion Range'!$A$2:$A$35,0))-(('Legend Attributes'!V30-1)/19)*(INDEX('Conversion Range'!$D$2:$D$35,MATCH(V$1,'Conversion Range'!$A$2:$A$35,0))-INDEX('Conversion Range'!$C$2:$C$35,MATCH(V$1,'Conversion Range'!$A$2:$A$35,0))),INDEX('Conversion Range'!$C$2:$C$35,MATCH(V$1,'Conversion Range'!$A$2:$A$35,0))+(('Legend Attributes'!V30-1)/19)*(INDEX('Conversion Range'!$D$2:$D$35,MATCH(V$1,'Conversion Range'!$A$2:$A$35,0))-INDEX('Conversion Range'!$C$2:$C$35,MATCH(V$1,'Conversion Range'!$A$2:$A$35,0)))),3))</f>
        <v>67.894999999999996</v>
      </c>
      <c r="W30" s="15">
        <f>IF('Legend Attributes'!W30=0,0,ROUND(IF(INDEX('Conversion Range'!$E$2:$E$35,MATCH(W$1,'Conversion Range'!$A$2:$A$35,0))=1,INDEX('Conversion Range'!$D$2:$D$35,MATCH(W$1,'Conversion Range'!$A$2:$A$35,0))-(('Legend Attributes'!W30-1)/19)*(INDEX('Conversion Range'!$D$2:$D$35,MATCH(W$1,'Conversion Range'!$A$2:$A$35,0))-INDEX('Conversion Range'!$C$2:$C$35,MATCH(W$1,'Conversion Range'!$A$2:$A$35,0))),INDEX('Conversion Range'!$C$2:$C$35,MATCH(W$1,'Conversion Range'!$A$2:$A$35,0))+(('Legend Attributes'!W30-1)/19)*(INDEX('Conversion Range'!$D$2:$D$35,MATCH(W$1,'Conversion Range'!$A$2:$A$35,0))-INDEX('Conversion Range'!$C$2:$C$35,MATCH(W$1,'Conversion Range'!$A$2:$A$35,0)))),3))</f>
        <v>0.13200000000000001</v>
      </c>
      <c r="X30" s="15">
        <f>IF('Legend Attributes'!X30=0,0,ROUND(IF(INDEX('Conversion Range'!$E$2:$E$35,MATCH(X$1,'Conversion Range'!$A$2:$A$35,0))=1,INDEX('Conversion Range'!$D$2:$D$35,MATCH(X$1,'Conversion Range'!$A$2:$A$35,0))-(('Legend Attributes'!X30-1)/19)*(INDEX('Conversion Range'!$D$2:$D$35,MATCH(X$1,'Conversion Range'!$A$2:$A$35,0))-INDEX('Conversion Range'!$C$2:$C$35,MATCH(X$1,'Conversion Range'!$A$2:$A$35,0))),INDEX('Conversion Range'!$C$2:$C$35,MATCH(X$1,'Conversion Range'!$A$2:$A$35,0))+(('Legend Attributes'!X30-1)/19)*(INDEX('Conversion Range'!$D$2:$D$35,MATCH(X$1,'Conversion Range'!$A$2:$A$35,0))-INDEX('Conversion Range'!$C$2:$C$35,MATCH(X$1,'Conversion Range'!$A$2:$A$35,0)))),3))</f>
        <v>0.40500000000000003</v>
      </c>
      <c r="Y30" s="15">
        <f>IF('Legend Attributes'!Y30=0,0,ROUND(IF(INDEX('Conversion Range'!$E$2:$E$35,MATCH(Y$1,'Conversion Range'!$A$2:$A$35,0))=1,INDEX('Conversion Range'!$D$2:$D$35,MATCH(Y$1,'Conversion Range'!$A$2:$A$35,0))-(('Legend Attributes'!Y30-1)/19)*(INDEX('Conversion Range'!$D$2:$D$35,MATCH(Y$1,'Conversion Range'!$A$2:$A$35,0))-INDEX('Conversion Range'!$C$2:$C$35,MATCH(Y$1,'Conversion Range'!$A$2:$A$35,0))),INDEX('Conversion Range'!$C$2:$C$35,MATCH(Y$1,'Conversion Range'!$A$2:$A$35,0))+(('Legend Attributes'!Y30-1)/19)*(INDEX('Conversion Range'!$D$2:$D$35,MATCH(Y$1,'Conversion Range'!$A$2:$A$35,0))-INDEX('Conversion Range'!$C$2:$C$35,MATCH(Y$1,'Conversion Range'!$A$2:$A$35,0)))),3))</f>
        <v>0.379</v>
      </c>
      <c r="Z30" s="15">
        <f>IF('Legend Attributes'!Z30=0,0,ROUND(IF(INDEX('Conversion Range'!$E$2:$E$35,MATCH(Z$1,'Conversion Range'!$A$2:$A$35,0))=1,INDEX('Conversion Range'!$D$2:$D$35,MATCH(Z$1,'Conversion Range'!$A$2:$A$35,0))-(('Legend Attributes'!Z30-1)/19)*(INDEX('Conversion Range'!$D$2:$D$35,MATCH(Z$1,'Conversion Range'!$A$2:$A$35,0))-INDEX('Conversion Range'!$C$2:$C$35,MATCH(Z$1,'Conversion Range'!$A$2:$A$35,0))),INDEX('Conversion Range'!$C$2:$C$35,MATCH(Z$1,'Conversion Range'!$A$2:$A$35,0))+(('Legend Attributes'!Z30-1)/19)*(INDEX('Conversion Range'!$D$2:$D$35,MATCH(Z$1,'Conversion Range'!$A$2:$A$35,0))-INDEX('Conversion Range'!$C$2:$C$35,MATCH(Z$1,'Conversion Range'!$A$2:$A$35,0)))),3))</f>
        <v>9.4209999999999994</v>
      </c>
      <c r="AA30" s="15">
        <f>IF('Legend Attributes'!AA30=0,0,ROUND(IF(INDEX('Conversion Range'!$E$2:$E$35,MATCH(AA$1,'Conversion Range'!$A$2:$A$35,0))=1,INDEX('Conversion Range'!$D$2:$D$35,MATCH(AA$1,'Conversion Range'!$A$2:$A$35,0))-(('Legend Attributes'!AA30-1)/19)*(INDEX('Conversion Range'!$D$2:$D$35,MATCH(AA$1,'Conversion Range'!$A$2:$A$35,0))-INDEX('Conversion Range'!$C$2:$C$35,MATCH(AA$1,'Conversion Range'!$A$2:$A$35,0))),INDEX('Conversion Range'!$C$2:$C$35,MATCH(AA$1,'Conversion Range'!$A$2:$A$35,0))+(('Legend Attributes'!AA30-1)/19)*(INDEX('Conversion Range'!$D$2:$D$35,MATCH(AA$1,'Conversion Range'!$A$2:$A$35,0))-INDEX('Conversion Range'!$C$2:$C$35,MATCH(AA$1,'Conversion Range'!$A$2:$A$35,0)))),3))</f>
        <v>7.3999999999999996E-2</v>
      </c>
      <c r="AB30" s="15">
        <f>IF('Legend Attributes'!AB30=0,0,ROUND(IF(INDEX('Conversion Range'!$E$2:$E$35,MATCH(AB$1,'Conversion Range'!$A$2:$A$35,0))=1,INDEX('Conversion Range'!$D$2:$D$35,MATCH(AB$1,'Conversion Range'!$A$2:$A$35,0))-(('Legend Attributes'!AB30-1)/19)*(INDEX('Conversion Range'!$D$2:$D$35,MATCH(AB$1,'Conversion Range'!$A$2:$A$35,0))-INDEX('Conversion Range'!$C$2:$C$35,MATCH(AB$1,'Conversion Range'!$A$2:$A$35,0))),INDEX('Conversion Range'!$C$2:$C$35,MATCH(AB$1,'Conversion Range'!$A$2:$A$35,0))+(('Legend Attributes'!AB30-1)/19)*(INDEX('Conversion Range'!$D$2:$D$35,MATCH(AB$1,'Conversion Range'!$A$2:$A$35,0))-INDEX('Conversion Range'!$C$2:$C$35,MATCH(AB$1,'Conversion Range'!$A$2:$A$35,0)))),3))</f>
        <v>0.52400000000000002</v>
      </c>
      <c r="AC30" s="15">
        <f>IF('Legend Attributes'!AC30=0,0,ROUND(IF(INDEX('Conversion Range'!$E$2:$E$35,MATCH(AC$1,'Conversion Range'!$A$2:$A$35,0))=1,INDEX('Conversion Range'!$D$2:$D$35,MATCH(AC$1,'Conversion Range'!$A$2:$A$35,0))-(('Legend Attributes'!AC30-1)/19)*(INDEX('Conversion Range'!$D$2:$D$35,MATCH(AC$1,'Conversion Range'!$A$2:$A$35,0))-INDEX('Conversion Range'!$C$2:$C$35,MATCH(AC$1,'Conversion Range'!$A$2:$A$35,0))),INDEX('Conversion Range'!$C$2:$C$35,MATCH(AC$1,'Conversion Range'!$A$2:$A$35,0))+(('Legend Attributes'!AC30-1)/19)*(INDEX('Conversion Range'!$D$2:$D$35,MATCH(AC$1,'Conversion Range'!$A$2:$A$35,0))-INDEX('Conversion Range'!$C$2:$C$35,MATCH(AC$1,'Conversion Range'!$A$2:$A$35,0)))),3))</f>
        <v>0.30399999999999999</v>
      </c>
      <c r="AD30" s="15">
        <f>IF('Legend Attributes'!AD30=0,0,ROUND(IF(INDEX('Conversion Range'!$E$2:$E$35,MATCH(AD$1,'Conversion Range'!$A$2:$A$35,0))=1,INDEX('Conversion Range'!$D$2:$D$35,MATCH(AD$1,'Conversion Range'!$A$2:$A$35,0))-(('Legend Attributes'!AD30-1)/19)*(INDEX('Conversion Range'!$D$2:$D$35,MATCH(AD$1,'Conversion Range'!$A$2:$A$35,0))-INDEX('Conversion Range'!$C$2:$C$35,MATCH(AD$1,'Conversion Range'!$A$2:$A$35,0))),INDEX('Conversion Range'!$C$2:$C$35,MATCH(AD$1,'Conversion Range'!$A$2:$A$35,0))+(('Legend Attributes'!AD30-1)/19)*(INDEX('Conversion Range'!$D$2:$D$35,MATCH(AD$1,'Conversion Range'!$A$2:$A$35,0))-INDEX('Conversion Range'!$C$2:$C$35,MATCH(AD$1,'Conversion Range'!$A$2:$A$35,0)))),3))</f>
        <v>0</v>
      </c>
      <c r="AE30" s="15">
        <f>IF('Legend Attributes'!AE30=0,0,ROUND(IF(INDEX('Conversion Range'!$E$2:$E$35,MATCH(AE$1,'Conversion Range'!$A$2:$A$35,0))=1,INDEX('Conversion Range'!$D$2:$D$35,MATCH(AE$1,'Conversion Range'!$A$2:$A$35,0))-(('Legend Attributes'!AE30-1)/19)*(INDEX('Conversion Range'!$D$2:$D$35,MATCH(AE$1,'Conversion Range'!$A$2:$A$35,0))-INDEX('Conversion Range'!$C$2:$C$35,MATCH(AE$1,'Conversion Range'!$A$2:$A$35,0))),INDEX('Conversion Range'!$C$2:$C$35,MATCH(AE$1,'Conversion Range'!$A$2:$A$35,0))+(('Legend Attributes'!AE30-1)/19)*(INDEX('Conversion Range'!$D$2:$D$35,MATCH(AE$1,'Conversion Range'!$A$2:$A$35,0))-INDEX('Conversion Range'!$C$2:$C$35,MATCH(AE$1,'Conversion Range'!$A$2:$A$35,0)))),3))</f>
        <v>0</v>
      </c>
      <c r="AF30" s="15">
        <f>IF('Legend Attributes'!AF30=0,0,ROUND(IF(INDEX('Conversion Range'!$E$2:$E$35,MATCH(AF$1,'Conversion Range'!$A$2:$A$35,0))=1,INDEX('Conversion Range'!$D$2:$D$35,MATCH(AF$1,'Conversion Range'!$A$2:$A$35,0))-(('Legend Attributes'!AF30-1)/19)*(INDEX('Conversion Range'!$D$2:$D$35,MATCH(AF$1,'Conversion Range'!$A$2:$A$35,0))-INDEX('Conversion Range'!$C$2:$C$35,MATCH(AF$1,'Conversion Range'!$A$2:$A$35,0))),INDEX('Conversion Range'!$C$2:$C$35,MATCH(AF$1,'Conversion Range'!$A$2:$A$35,0))+(('Legend Attributes'!AF30-1)/19)*(INDEX('Conversion Range'!$D$2:$D$35,MATCH(AF$1,'Conversion Range'!$A$2:$A$35,0))-INDEX('Conversion Range'!$C$2:$C$35,MATCH(AF$1,'Conversion Range'!$A$2:$A$35,0)))),3))</f>
        <v>0</v>
      </c>
      <c r="AG30" s="15">
        <f>IF('Legend Attributes'!AG30=0,0,ROUND(IF(INDEX('Conversion Range'!$E$2:$E$35,MATCH(AG$1,'Conversion Range'!$A$2:$A$35,0))=1,INDEX('Conversion Range'!$D$2:$D$35,MATCH(AG$1,'Conversion Range'!$A$2:$A$35,0))-(('Legend Attributes'!AG30-1)/19)*(INDEX('Conversion Range'!$D$2:$D$35,MATCH(AG$1,'Conversion Range'!$A$2:$A$35,0))-INDEX('Conversion Range'!$C$2:$C$35,MATCH(AG$1,'Conversion Range'!$A$2:$A$35,0))),INDEX('Conversion Range'!$C$2:$C$35,MATCH(AG$1,'Conversion Range'!$A$2:$A$35,0))+(('Legend Attributes'!AG30-1)/19)*(INDEX('Conversion Range'!$D$2:$D$35,MATCH(AG$1,'Conversion Range'!$A$2:$A$35,0))-INDEX('Conversion Range'!$C$2:$C$35,MATCH(AG$1,'Conversion Range'!$A$2:$A$35,0)))),3))</f>
        <v>1.2110000000000001</v>
      </c>
      <c r="AH30" s="15">
        <f>IF('Legend Attributes'!AH30=0,0,ROUND(IF(INDEX('Conversion Range'!$E$2:$E$35,MATCH(AH$1,'Conversion Range'!$A$2:$A$35,0))=1,INDEX('Conversion Range'!$D$2:$D$35,MATCH(AH$1,'Conversion Range'!$A$2:$A$35,0))-(('Legend Attributes'!AH30-1)/19)*(INDEX('Conversion Range'!$D$2:$D$35,MATCH(AH$1,'Conversion Range'!$A$2:$A$35,0))-INDEX('Conversion Range'!$C$2:$C$35,MATCH(AH$1,'Conversion Range'!$A$2:$A$35,0))),INDEX('Conversion Range'!$C$2:$C$35,MATCH(AH$1,'Conversion Range'!$A$2:$A$35,0))+(('Legend Attributes'!AH30-1)/19)*(INDEX('Conversion Range'!$D$2:$D$35,MATCH(AH$1,'Conversion Range'!$A$2:$A$35,0))-INDEX('Conversion Range'!$C$2:$C$35,MATCH(AH$1,'Conversion Range'!$A$2:$A$35,0)))),3))</f>
        <v>0.17799999999999999</v>
      </c>
      <c r="AI30" s="15">
        <f>IF('Legend Attributes'!AI30=0,0,ROUND(IF(INDEX('Conversion Range'!$E$2:$E$35,MATCH(AI$1,'Conversion Range'!$A$2:$A$35,0))=1,INDEX('Conversion Range'!$D$2:$D$35,MATCH(AI$1,'Conversion Range'!$A$2:$A$35,0))-(('Legend Attributes'!AI30-1)/19)*(INDEX('Conversion Range'!$D$2:$D$35,MATCH(AI$1,'Conversion Range'!$A$2:$A$35,0))-INDEX('Conversion Range'!$C$2:$C$35,MATCH(AI$1,'Conversion Range'!$A$2:$A$35,0))),INDEX('Conversion Range'!$C$2:$C$35,MATCH(AI$1,'Conversion Range'!$A$2:$A$35,0))+(('Legend Attributes'!AI30-1)/19)*(INDEX('Conversion Range'!$D$2:$D$35,MATCH(AI$1,'Conversion Range'!$A$2:$A$35,0))-INDEX('Conversion Range'!$C$2:$C$35,MATCH(AI$1,'Conversion Range'!$A$2:$A$35,0)))),3))</f>
        <v>4.3999999999999997E-2</v>
      </c>
      <c r="AJ30" s="15">
        <f>IF('Legend Attributes'!AJ30=0,0,ROUND(IF(INDEX('Conversion Range'!$E$2:$E$35,MATCH(AJ$1,'Conversion Range'!$A$2:$A$35,0))=1,INDEX('Conversion Range'!$D$2:$D$35,MATCH(AJ$1,'Conversion Range'!$A$2:$A$35,0))-(('Legend Attributes'!AJ30-1)/19)*(INDEX('Conversion Range'!$D$2:$D$35,MATCH(AJ$1,'Conversion Range'!$A$2:$A$35,0))-INDEX('Conversion Range'!$C$2:$C$35,MATCH(AJ$1,'Conversion Range'!$A$2:$A$35,0))),INDEX('Conversion Range'!$C$2:$C$35,MATCH(AJ$1,'Conversion Range'!$A$2:$A$35,0))+(('Legend Attributes'!AJ30-1)/19)*(INDEX('Conversion Range'!$D$2:$D$35,MATCH(AJ$1,'Conversion Range'!$A$2:$A$35,0))-INDEX('Conversion Range'!$C$2:$C$35,MATCH(AJ$1,'Conversion Range'!$A$2:$A$35,0)))),3))</f>
        <v>7.726</v>
      </c>
    </row>
    <row r="31" spans="1:36" x14ac:dyDescent="0.35">
      <c r="A31" t="str">
        <f>'Legend Attributes'!A31</f>
        <v>César Azpilicueta</v>
      </c>
      <c r="B31" t="str">
        <f>'Legend Attributes'!B31</f>
        <v>FB</v>
      </c>
      <c r="C31">
        <f>IF('Legend Attributes'!C31=0,0,ROUND(IF(INDEX('Conversion Range'!$E$2:$E$35,MATCH(C$1,'Conversion Range'!$A$2:$A$35,0))=1,INDEX('Conversion Range'!$D$2:$D$35,MATCH(C$1,'Conversion Range'!$A$2:$A$35,0))-(('Legend Attributes'!C31-1)/19)*(INDEX('Conversion Range'!$D$2:$D$35,MATCH(C$1,'Conversion Range'!$A$2:$A$35,0))-INDEX('Conversion Range'!$C$2:$C$35,MATCH(C$1,'Conversion Range'!$A$2:$A$35,0))),INDEX('Conversion Range'!$C$2:$C$35,MATCH(C$1,'Conversion Range'!$A$2:$A$35,0))+(('Legend Attributes'!C31-1)/19)*(INDEX('Conversion Range'!$D$2:$D$35,MATCH(C$1,'Conversion Range'!$A$2:$A$35,0))-INDEX('Conversion Range'!$C$2:$C$35,MATCH(C$1,'Conversion Range'!$A$2:$A$35,0)))),3))</f>
        <v>0.19500000000000001</v>
      </c>
      <c r="D31">
        <f>IF('Legend Attributes'!D31=0,0,ROUND(IF(INDEX('Conversion Range'!$E$2:$E$35,MATCH(D$1,'Conversion Range'!$A$2:$A$35,0))=1,INDEX('Conversion Range'!$D$2:$D$35,MATCH(D$1,'Conversion Range'!$A$2:$A$35,0))-(('Legend Attributes'!D31-1)/19)*(INDEX('Conversion Range'!$D$2:$D$35,MATCH(D$1,'Conversion Range'!$A$2:$A$35,0))-INDEX('Conversion Range'!$C$2:$C$35,MATCH(D$1,'Conversion Range'!$A$2:$A$35,0))),INDEX('Conversion Range'!$C$2:$C$35,MATCH(D$1,'Conversion Range'!$A$2:$A$35,0))+(('Legend Attributes'!D31-1)/19)*(INDEX('Conversion Range'!$D$2:$D$35,MATCH(D$1,'Conversion Range'!$A$2:$A$35,0))-INDEX('Conversion Range'!$C$2:$C$35,MATCH(D$1,'Conversion Range'!$A$2:$A$35,0)))),3))</f>
        <v>0.17399999999999999</v>
      </c>
      <c r="E31">
        <f>IF('Legend Attributes'!E31=0,0,ROUND(IF(INDEX('Conversion Range'!$E$2:$E$35,MATCH(E$1,'Conversion Range'!$A$2:$A$35,0))=1,INDEX('Conversion Range'!$D$2:$D$35,MATCH(E$1,'Conversion Range'!$A$2:$A$35,0))-(('Legend Attributes'!E31-1)/19)*(INDEX('Conversion Range'!$D$2:$D$35,MATCH(E$1,'Conversion Range'!$A$2:$A$35,0))-INDEX('Conversion Range'!$C$2:$C$35,MATCH(E$1,'Conversion Range'!$A$2:$A$35,0))),INDEX('Conversion Range'!$C$2:$C$35,MATCH(E$1,'Conversion Range'!$A$2:$A$35,0))+(('Legend Attributes'!E31-1)/19)*(INDEX('Conversion Range'!$D$2:$D$35,MATCH(E$1,'Conversion Range'!$A$2:$A$35,0))-INDEX('Conversion Range'!$C$2:$C$35,MATCH(E$1,'Conversion Range'!$A$2:$A$35,0)))),3))</f>
        <v>9.5000000000000001E-2</v>
      </c>
      <c r="F31">
        <f>IF('Legend Attributes'!F31=0,0,ROUND(IF(INDEX('Conversion Range'!$E$2:$E$35,MATCH(F$1,'Conversion Range'!$A$2:$A$35,0))=1,INDEX('Conversion Range'!$D$2:$D$35,MATCH(F$1,'Conversion Range'!$A$2:$A$35,0))-(('Legend Attributes'!F31-1)/19)*(INDEX('Conversion Range'!$D$2:$D$35,MATCH(F$1,'Conversion Range'!$A$2:$A$35,0))-INDEX('Conversion Range'!$C$2:$C$35,MATCH(F$1,'Conversion Range'!$A$2:$A$35,0))),INDEX('Conversion Range'!$C$2:$C$35,MATCH(F$1,'Conversion Range'!$A$2:$A$35,0))+(('Legend Attributes'!F31-1)/19)*(INDEX('Conversion Range'!$D$2:$D$35,MATCH(F$1,'Conversion Range'!$A$2:$A$35,0))-INDEX('Conversion Range'!$C$2:$C$35,MATCH(F$1,'Conversion Range'!$A$2:$A$35,0)))),3))</f>
        <v>0.96099999999999997</v>
      </c>
      <c r="G31">
        <f>IF('Legend Attributes'!G31=0,0,ROUND(IF(INDEX('Conversion Range'!$E$2:$E$35,MATCH(G$1,'Conversion Range'!$A$2:$A$35,0))=1,INDEX('Conversion Range'!$D$2:$D$35,MATCH(G$1,'Conversion Range'!$A$2:$A$35,0))-(('Legend Attributes'!G31-1)/19)*(INDEX('Conversion Range'!$D$2:$D$35,MATCH(G$1,'Conversion Range'!$A$2:$A$35,0))-INDEX('Conversion Range'!$C$2:$C$35,MATCH(G$1,'Conversion Range'!$A$2:$A$35,0))),INDEX('Conversion Range'!$C$2:$C$35,MATCH(G$1,'Conversion Range'!$A$2:$A$35,0))+(('Legend Attributes'!G31-1)/19)*(INDEX('Conversion Range'!$D$2:$D$35,MATCH(G$1,'Conversion Range'!$A$2:$A$35,0))-INDEX('Conversion Range'!$C$2:$C$35,MATCH(G$1,'Conversion Range'!$A$2:$A$35,0)))),3))</f>
        <v>0.43099999999999999</v>
      </c>
      <c r="H31">
        <f>IF('Legend Attributes'!H31=0,0,ROUND(IF(INDEX('Conversion Range'!$E$2:$E$35,MATCH(H$1,'Conversion Range'!$A$2:$A$35,0))=1,INDEX('Conversion Range'!$D$2:$D$35,MATCH(H$1,'Conversion Range'!$A$2:$A$35,0))-(('Legend Attributes'!H31-1)/19)*(INDEX('Conversion Range'!$D$2:$D$35,MATCH(H$1,'Conversion Range'!$A$2:$A$35,0))-INDEX('Conversion Range'!$C$2:$C$35,MATCH(H$1,'Conversion Range'!$A$2:$A$35,0))),INDEX('Conversion Range'!$C$2:$C$35,MATCH(H$1,'Conversion Range'!$A$2:$A$35,0))+(('Legend Attributes'!H31-1)/19)*(INDEX('Conversion Range'!$D$2:$D$35,MATCH(H$1,'Conversion Range'!$A$2:$A$35,0))-INDEX('Conversion Range'!$C$2:$C$35,MATCH(H$1,'Conversion Range'!$A$2:$A$35,0)))),3))</f>
        <v>5.2999999999999999E-2</v>
      </c>
      <c r="I31">
        <f>IF('Legend Attributes'!I31=0,0,ROUND(IF(INDEX('Conversion Range'!$E$2:$E$35,MATCH(I$1,'Conversion Range'!$A$2:$A$35,0))=1,INDEX('Conversion Range'!$D$2:$D$35,MATCH(I$1,'Conversion Range'!$A$2:$A$35,0))-(('Legend Attributes'!I31-1)/19)*(INDEX('Conversion Range'!$D$2:$D$35,MATCH(I$1,'Conversion Range'!$A$2:$A$35,0))-INDEX('Conversion Range'!$C$2:$C$35,MATCH(I$1,'Conversion Range'!$A$2:$A$35,0))),INDEX('Conversion Range'!$C$2:$C$35,MATCH(I$1,'Conversion Range'!$A$2:$A$35,0))+(('Legend Attributes'!I31-1)/19)*(INDEX('Conversion Range'!$D$2:$D$35,MATCH(I$1,'Conversion Range'!$A$2:$A$35,0))-INDEX('Conversion Range'!$C$2:$C$35,MATCH(I$1,'Conversion Range'!$A$2:$A$35,0)))),3))</f>
        <v>1.153</v>
      </c>
      <c r="J31">
        <f>IF('Legend Attributes'!J31=0,0,ROUND(IF(INDEX('Conversion Range'!$E$2:$E$35,MATCH(J$1,'Conversion Range'!$A$2:$A$35,0))=1,INDEX('Conversion Range'!$D$2:$D$35,MATCH(J$1,'Conversion Range'!$A$2:$A$35,0))-(('Legend Attributes'!J31-1)/19)*(INDEX('Conversion Range'!$D$2:$D$35,MATCH(J$1,'Conversion Range'!$A$2:$A$35,0))-INDEX('Conversion Range'!$C$2:$C$35,MATCH(J$1,'Conversion Range'!$A$2:$A$35,0))),INDEX('Conversion Range'!$C$2:$C$35,MATCH(J$1,'Conversion Range'!$A$2:$A$35,0))+(('Legend Attributes'!J31-1)/19)*(INDEX('Conversion Range'!$D$2:$D$35,MATCH(J$1,'Conversion Range'!$A$2:$A$35,0))-INDEX('Conversion Range'!$C$2:$C$35,MATCH(J$1,'Conversion Range'!$A$2:$A$35,0)))),3))</f>
        <v>2.484</v>
      </c>
      <c r="K31">
        <f>IF('Legend Attributes'!K31=0,0,ROUND(IF(INDEX('Conversion Range'!$E$2:$E$35,MATCH(K$1,'Conversion Range'!$A$2:$A$35,0))=1,INDEX('Conversion Range'!$D$2:$D$35,MATCH(K$1,'Conversion Range'!$A$2:$A$35,0))-(('Legend Attributes'!K31-1)/19)*(INDEX('Conversion Range'!$D$2:$D$35,MATCH(K$1,'Conversion Range'!$A$2:$A$35,0))-INDEX('Conversion Range'!$C$2:$C$35,MATCH(K$1,'Conversion Range'!$A$2:$A$35,0))),INDEX('Conversion Range'!$C$2:$C$35,MATCH(K$1,'Conversion Range'!$A$2:$A$35,0))+(('Legend Attributes'!K31-1)/19)*(INDEX('Conversion Range'!$D$2:$D$35,MATCH(K$1,'Conversion Range'!$A$2:$A$35,0))-INDEX('Conversion Range'!$C$2:$C$35,MATCH(K$1,'Conversion Range'!$A$2:$A$35,0)))),3))</f>
        <v>1.605</v>
      </c>
      <c r="L31">
        <f>IF('Legend Attributes'!L31=0,0,ROUND(IF(INDEX('Conversion Range'!$E$2:$E$35,MATCH(L$1,'Conversion Range'!$A$2:$A$35,0))=1,INDEX('Conversion Range'!$D$2:$D$35,MATCH(L$1,'Conversion Range'!$A$2:$A$35,0))-(('Legend Attributes'!L31-1)/19)*(INDEX('Conversion Range'!$D$2:$D$35,MATCH(L$1,'Conversion Range'!$A$2:$A$35,0))-INDEX('Conversion Range'!$C$2:$C$35,MATCH(L$1,'Conversion Range'!$A$2:$A$35,0))),INDEX('Conversion Range'!$C$2:$C$35,MATCH(L$1,'Conversion Range'!$A$2:$A$35,0))+(('Legend Attributes'!L31-1)/19)*(INDEX('Conversion Range'!$D$2:$D$35,MATCH(L$1,'Conversion Range'!$A$2:$A$35,0))-INDEX('Conversion Range'!$C$2:$C$35,MATCH(L$1,'Conversion Range'!$A$2:$A$35,0)))),3))</f>
        <v>2.2839999999999998</v>
      </c>
      <c r="M31">
        <f>IF('Legend Attributes'!M31=0,0,ROUND(IF(INDEX('Conversion Range'!$E$2:$E$35,MATCH(M$1,'Conversion Range'!$A$2:$A$35,0))=1,INDEX('Conversion Range'!$D$2:$D$35,MATCH(M$1,'Conversion Range'!$A$2:$A$35,0))-(('Legend Attributes'!M31-1)/19)*(INDEX('Conversion Range'!$D$2:$D$35,MATCH(M$1,'Conversion Range'!$A$2:$A$35,0))-INDEX('Conversion Range'!$C$2:$C$35,MATCH(M$1,'Conversion Range'!$A$2:$A$35,0))),INDEX('Conversion Range'!$C$2:$C$35,MATCH(M$1,'Conversion Range'!$A$2:$A$35,0))+(('Legend Attributes'!M31-1)/19)*(INDEX('Conversion Range'!$D$2:$D$35,MATCH(M$1,'Conversion Range'!$A$2:$A$35,0))-INDEX('Conversion Range'!$C$2:$C$35,MATCH(M$1,'Conversion Range'!$A$2:$A$35,0)))),3))</f>
        <v>0.67400000000000004</v>
      </c>
      <c r="N31">
        <f>IF('Legend Attributes'!N31=0,0,ROUND(IF(INDEX('Conversion Range'!$E$2:$E$35,MATCH(N$1,'Conversion Range'!$A$2:$A$35,0))=1,INDEX('Conversion Range'!$D$2:$D$35,MATCH(N$1,'Conversion Range'!$A$2:$A$35,0))-(('Legend Attributes'!N31-1)/19)*(INDEX('Conversion Range'!$D$2:$D$35,MATCH(N$1,'Conversion Range'!$A$2:$A$35,0))-INDEX('Conversion Range'!$C$2:$C$35,MATCH(N$1,'Conversion Range'!$A$2:$A$35,0))),INDEX('Conversion Range'!$C$2:$C$35,MATCH(N$1,'Conversion Range'!$A$2:$A$35,0))+(('Legend Attributes'!N31-1)/19)*(INDEX('Conversion Range'!$D$2:$D$35,MATCH(N$1,'Conversion Range'!$A$2:$A$35,0))-INDEX('Conversion Range'!$C$2:$C$35,MATCH(N$1,'Conversion Range'!$A$2:$A$35,0)))),3))</f>
        <v>6.3419999999999996</v>
      </c>
      <c r="O31">
        <f>IF('Legend Attributes'!O31=0,0,ROUND(IF(INDEX('Conversion Range'!$E$2:$E$35,MATCH(O$1,'Conversion Range'!$A$2:$A$35,0))=1,INDEX('Conversion Range'!$D$2:$D$35,MATCH(O$1,'Conversion Range'!$A$2:$A$35,0))-(('Legend Attributes'!O31-1)/19)*(INDEX('Conversion Range'!$D$2:$D$35,MATCH(O$1,'Conversion Range'!$A$2:$A$35,0))-INDEX('Conversion Range'!$C$2:$C$35,MATCH(O$1,'Conversion Range'!$A$2:$A$35,0))),INDEX('Conversion Range'!$C$2:$C$35,MATCH(O$1,'Conversion Range'!$A$2:$A$35,0))+(('Legend Attributes'!O31-1)/19)*(INDEX('Conversion Range'!$D$2:$D$35,MATCH(O$1,'Conversion Range'!$A$2:$A$35,0))-INDEX('Conversion Range'!$C$2:$C$35,MATCH(O$1,'Conversion Range'!$A$2:$A$35,0)))),3))</f>
        <v>0.91600000000000004</v>
      </c>
      <c r="P31">
        <f>IF('Legend Attributes'!P31=0,0,ROUND(IF(INDEX('Conversion Range'!$E$2:$E$35,MATCH(P$1,'Conversion Range'!$A$2:$A$35,0))=1,INDEX('Conversion Range'!$D$2:$D$35,MATCH(P$1,'Conversion Range'!$A$2:$A$35,0))-(('Legend Attributes'!P31-1)/19)*(INDEX('Conversion Range'!$D$2:$D$35,MATCH(P$1,'Conversion Range'!$A$2:$A$35,0))-INDEX('Conversion Range'!$C$2:$C$35,MATCH(P$1,'Conversion Range'!$A$2:$A$35,0))),INDEX('Conversion Range'!$C$2:$C$35,MATCH(P$1,'Conversion Range'!$A$2:$A$35,0))+(('Legend Attributes'!P31-1)/19)*(INDEX('Conversion Range'!$D$2:$D$35,MATCH(P$1,'Conversion Range'!$A$2:$A$35,0))-INDEX('Conversion Range'!$C$2:$C$35,MATCH(P$1,'Conversion Range'!$A$2:$A$35,0)))),3))</f>
        <v>58.947000000000003</v>
      </c>
      <c r="Q31">
        <f>IF('Legend Attributes'!Q31=0,0,ROUND(IF(INDEX('Conversion Range'!$E$2:$E$35,MATCH(Q$1,'Conversion Range'!$A$2:$A$35,0))=1,INDEX('Conversion Range'!$D$2:$D$35,MATCH(Q$1,'Conversion Range'!$A$2:$A$35,0))-(('Legend Attributes'!Q31-1)/19)*(INDEX('Conversion Range'!$D$2:$D$35,MATCH(Q$1,'Conversion Range'!$A$2:$A$35,0))-INDEX('Conversion Range'!$C$2:$C$35,MATCH(Q$1,'Conversion Range'!$A$2:$A$35,0))),INDEX('Conversion Range'!$C$2:$C$35,MATCH(Q$1,'Conversion Range'!$A$2:$A$35,0))+(('Legend Attributes'!Q31-1)/19)*(INDEX('Conversion Range'!$D$2:$D$35,MATCH(Q$1,'Conversion Range'!$A$2:$A$35,0))-INDEX('Conversion Range'!$C$2:$C$35,MATCH(Q$1,'Conversion Range'!$A$2:$A$35,0)))),3))</f>
        <v>54.104999999999997</v>
      </c>
      <c r="R31">
        <f>IF('Legend Attributes'!R31=0,0,ROUND(IF(INDEX('Conversion Range'!$E$2:$E$35,MATCH(R$1,'Conversion Range'!$A$2:$A$35,0))=1,INDEX('Conversion Range'!$D$2:$D$35,MATCH(R$1,'Conversion Range'!$A$2:$A$35,0))-(('Legend Attributes'!R31-1)/19)*(INDEX('Conversion Range'!$D$2:$D$35,MATCH(R$1,'Conversion Range'!$A$2:$A$35,0))-INDEX('Conversion Range'!$C$2:$C$35,MATCH(R$1,'Conversion Range'!$A$2:$A$35,0))),INDEX('Conversion Range'!$C$2:$C$35,MATCH(R$1,'Conversion Range'!$A$2:$A$35,0))+(('Legend Attributes'!R31-1)/19)*(INDEX('Conversion Range'!$D$2:$D$35,MATCH(R$1,'Conversion Range'!$A$2:$A$35,0))-INDEX('Conversion Range'!$C$2:$C$35,MATCH(R$1,'Conversion Range'!$A$2:$A$35,0)))),3))</f>
        <v>84.474000000000004</v>
      </c>
      <c r="S31">
        <f>IF('Legend Attributes'!S31=0,0,ROUND(IF(INDEX('Conversion Range'!$E$2:$E$35,MATCH(S$1,'Conversion Range'!$A$2:$A$35,0))=1,INDEX('Conversion Range'!$D$2:$D$35,MATCH(S$1,'Conversion Range'!$A$2:$A$35,0))-(('Legend Attributes'!S31-1)/19)*(INDEX('Conversion Range'!$D$2:$D$35,MATCH(S$1,'Conversion Range'!$A$2:$A$35,0))-INDEX('Conversion Range'!$C$2:$C$35,MATCH(S$1,'Conversion Range'!$A$2:$A$35,0))),INDEX('Conversion Range'!$C$2:$C$35,MATCH(S$1,'Conversion Range'!$A$2:$A$35,0))+(('Legend Attributes'!S31-1)/19)*(INDEX('Conversion Range'!$D$2:$D$35,MATCH(S$1,'Conversion Range'!$A$2:$A$35,0))-INDEX('Conversion Range'!$C$2:$C$35,MATCH(S$1,'Conversion Range'!$A$2:$A$35,0)))),3))</f>
        <v>3.3210000000000002</v>
      </c>
      <c r="T31">
        <f>IF('Legend Attributes'!T31=0,0,ROUND(IF(INDEX('Conversion Range'!$E$2:$E$35,MATCH(T$1,'Conversion Range'!$A$2:$A$35,0))=1,INDEX('Conversion Range'!$D$2:$D$35,MATCH(T$1,'Conversion Range'!$A$2:$A$35,0))-(('Legend Attributes'!T31-1)/19)*(INDEX('Conversion Range'!$D$2:$D$35,MATCH(T$1,'Conversion Range'!$A$2:$A$35,0))-INDEX('Conversion Range'!$C$2:$C$35,MATCH(T$1,'Conversion Range'!$A$2:$A$35,0))),INDEX('Conversion Range'!$C$2:$C$35,MATCH(T$1,'Conversion Range'!$A$2:$A$35,0))+(('Legend Attributes'!T31-1)/19)*(INDEX('Conversion Range'!$D$2:$D$35,MATCH(T$1,'Conversion Range'!$A$2:$A$35,0))-INDEX('Conversion Range'!$C$2:$C$35,MATCH(T$1,'Conversion Range'!$A$2:$A$35,0)))),3))</f>
        <v>45.368000000000002</v>
      </c>
      <c r="U31">
        <f>IF('Legend Attributes'!U31=0,0,ROUND(IF(INDEX('Conversion Range'!$E$2:$E$35,MATCH(U$1,'Conversion Range'!$A$2:$A$35,0))=1,INDEX('Conversion Range'!$D$2:$D$35,MATCH(U$1,'Conversion Range'!$A$2:$A$35,0))-(('Legend Attributes'!U31-1)/19)*(INDEX('Conversion Range'!$D$2:$D$35,MATCH(U$1,'Conversion Range'!$A$2:$A$35,0))-INDEX('Conversion Range'!$C$2:$C$35,MATCH(U$1,'Conversion Range'!$A$2:$A$35,0))),INDEX('Conversion Range'!$C$2:$C$35,MATCH(U$1,'Conversion Range'!$A$2:$A$35,0))+(('Legend Attributes'!U31-1)/19)*(INDEX('Conversion Range'!$D$2:$D$35,MATCH(U$1,'Conversion Range'!$A$2:$A$35,0))-INDEX('Conversion Range'!$C$2:$C$35,MATCH(U$1,'Conversion Range'!$A$2:$A$35,0)))),3))</f>
        <v>1.9419999999999999</v>
      </c>
      <c r="V31">
        <f>IF('Legend Attributes'!V31=0,0,ROUND(IF(INDEX('Conversion Range'!$E$2:$E$35,MATCH(V$1,'Conversion Range'!$A$2:$A$35,0))=1,INDEX('Conversion Range'!$D$2:$D$35,MATCH(V$1,'Conversion Range'!$A$2:$A$35,0))-(('Legend Attributes'!V31-1)/19)*(INDEX('Conversion Range'!$D$2:$D$35,MATCH(V$1,'Conversion Range'!$A$2:$A$35,0))-INDEX('Conversion Range'!$C$2:$C$35,MATCH(V$1,'Conversion Range'!$A$2:$A$35,0))),INDEX('Conversion Range'!$C$2:$C$35,MATCH(V$1,'Conversion Range'!$A$2:$A$35,0))+(('Legend Attributes'!V31-1)/19)*(INDEX('Conversion Range'!$D$2:$D$35,MATCH(V$1,'Conversion Range'!$A$2:$A$35,0))-INDEX('Conversion Range'!$C$2:$C$35,MATCH(V$1,'Conversion Range'!$A$2:$A$35,0)))),3))</f>
        <v>48.947000000000003</v>
      </c>
      <c r="W31">
        <f>IF('Legend Attributes'!W31=0,0,ROUND(IF(INDEX('Conversion Range'!$E$2:$E$35,MATCH(W$1,'Conversion Range'!$A$2:$A$35,0))=1,INDEX('Conversion Range'!$D$2:$D$35,MATCH(W$1,'Conversion Range'!$A$2:$A$35,0))-(('Legend Attributes'!W31-1)/19)*(INDEX('Conversion Range'!$D$2:$D$35,MATCH(W$1,'Conversion Range'!$A$2:$A$35,0))-INDEX('Conversion Range'!$C$2:$C$35,MATCH(W$1,'Conversion Range'!$A$2:$A$35,0))),INDEX('Conversion Range'!$C$2:$C$35,MATCH(W$1,'Conversion Range'!$A$2:$A$35,0))+(('Legend Attributes'!W31-1)/19)*(INDEX('Conversion Range'!$D$2:$D$35,MATCH(W$1,'Conversion Range'!$A$2:$A$35,0))-INDEX('Conversion Range'!$C$2:$C$35,MATCH(W$1,'Conversion Range'!$A$2:$A$35,0)))),3))</f>
        <v>0.13200000000000001</v>
      </c>
      <c r="X31">
        <f>IF('Legend Attributes'!X31=0,0,ROUND(IF(INDEX('Conversion Range'!$E$2:$E$35,MATCH(X$1,'Conversion Range'!$A$2:$A$35,0))=1,INDEX('Conversion Range'!$D$2:$D$35,MATCH(X$1,'Conversion Range'!$A$2:$A$35,0))-(('Legend Attributes'!X31-1)/19)*(INDEX('Conversion Range'!$D$2:$D$35,MATCH(X$1,'Conversion Range'!$A$2:$A$35,0))-INDEX('Conversion Range'!$C$2:$C$35,MATCH(X$1,'Conversion Range'!$A$2:$A$35,0))),INDEX('Conversion Range'!$C$2:$C$35,MATCH(X$1,'Conversion Range'!$A$2:$A$35,0))+(('Legend Attributes'!X31-1)/19)*(INDEX('Conversion Range'!$D$2:$D$35,MATCH(X$1,'Conversion Range'!$A$2:$A$35,0))-INDEX('Conversion Range'!$C$2:$C$35,MATCH(X$1,'Conversion Range'!$A$2:$A$35,0)))),3))</f>
        <v>0.34699999999999998</v>
      </c>
      <c r="Y31">
        <f>IF('Legend Attributes'!Y31=0,0,ROUND(IF(INDEX('Conversion Range'!$E$2:$E$35,MATCH(Y$1,'Conversion Range'!$A$2:$A$35,0))=1,INDEX('Conversion Range'!$D$2:$D$35,MATCH(Y$1,'Conversion Range'!$A$2:$A$35,0))-(('Legend Attributes'!Y31-1)/19)*(INDEX('Conversion Range'!$D$2:$D$35,MATCH(Y$1,'Conversion Range'!$A$2:$A$35,0))-INDEX('Conversion Range'!$C$2:$C$35,MATCH(Y$1,'Conversion Range'!$A$2:$A$35,0))),INDEX('Conversion Range'!$C$2:$C$35,MATCH(Y$1,'Conversion Range'!$A$2:$A$35,0))+(('Legend Attributes'!Y31-1)/19)*(INDEX('Conversion Range'!$D$2:$D$35,MATCH(Y$1,'Conversion Range'!$A$2:$A$35,0))-INDEX('Conversion Range'!$C$2:$C$35,MATCH(Y$1,'Conversion Range'!$A$2:$A$35,0)))),3))</f>
        <v>0.379</v>
      </c>
      <c r="Z31">
        <f>IF('Legend Attributes'!Z31=0,0,ROUND(IF(INDEX('Conversion Range'!$E$2:$E$35,MATCH(Z$1,'Conversion Range'!$A$2:$A$35,0))=1,INDEX('Conversion Range'!$D$2:$D$35,MATCH(Z$1,'Conversion Range'!$A$2:$A$35,0))-(('Legend Attributes'!Z31-1)/19)*(INDEX('Conversion Range'!$D$2:$D$35,MATCH(Z$1,'Conversion Range'!$A$2:$A$35,0))-INDEX('Conversion Range'!$C$2:$C$35,MATCH(Z$1,'Conversion Range'!$A$2:$A$35,0))),INDEX('Conversion Range'!$C$2:$C$35,MATCH(Z$1,'Conversion Range'!$A$2:$A$35,0))+(('Legend Attributes'!Z31-1)/19)*(INDEX('Conversion Range'!$D$2:$D$35,MATCH(Z$1,'Conversion Range'!$A$2:$A$35,0))-INDEX('Conversion Range'!$C$2:$C$35,MATCH(Z$1,'Conversion Range'!$A$2:$A$35,0)))),3))</f>
        <v>7.4470000000000001</v>
      </c>
      <c r="AA31">
        <f>IF('Legend Attributes'!AA31=0,0,ROUND(IF(INDEX('Conversion Range'!$E$2:$E$35,MATCH(AA$1,'Conversion Range'!$A$2:$A$35,0))=1,INDEX('Conversion Range'!$D$2:$D$35,MATCH(AA$1,'Conversion Range'!$A$2:$A$35,0))-(('Legend Attributes'!AA31-1)/19)*(INDEX('Conversion Range'!$D$2:$D$35,MATCH(AA$1,'Conversion Range'!$A$2:$A$35,0))-INDEX('Conversion Range'!$C$2:$C$35,MATCH(AA$1,'Conversion Range'!$A$2:$A$35,0))),INDEX('Conversion Range'!$C$2:$C$35,MATCH(AA$1,'Conversion Range'!$A$2:$A$35,0))+(('Legend Attributes'!AA31-1)/19)*(INDEX('Conversion Range'!$D$2:$D$35,MATCH(AA$1,'Conversion Range'!$A$2:$A$35,0))-INDEX('Conversion Range'!$C$2:$C$35,MATCH(AA$1,'Conversion Range'!$A$2:$A$35,0)))),3))</f>
        <v>0</v>
      </c>
      <c r="AB31">
        <f>IF('Legend Attributes'!AB31=0,0,ROUND(IF(INDEX('Conversion Range'!$E$2:$E$35,MATCH(AB$1,'Conversion Range'!$A$2:$A$35,0))=1,INDEX('Conversion Range'!$D$2:$D$35,MATCH(AB$1,'Conversion Range'!$A$2:$A$35,0))-(('Legend Attributes'!AB31-1)/19)*(INDEX('Conversion Range'!$D$2:$D$35,MATCH(AB$1,'Conversion Range'!$A$2:$A$35,0))-INDEX('Conversion Range'!$C$2:$C$35,MATCH(AB$1,'Conversion Range'!$A$2:$A$35,0))),INDEX('Conversion Range'!$C$2:$C$35,MATCH(AB$1,'Conversion Range'!$A$2:$A$35,0))+(('Legend Attributes'!AB31-1)/19)*(INDEX('Conversion Range'!$D$2:$D$35,MATCH(AB$1,'Conversion Range'!$A$2:$A$35,0))-INDEX('Conversion Range'!$C$2:$C$35,MATCH(AB$1,'Conversion Range'!$A$2:$A$35,0)))),3))</f>
        <v>0.42899999999999999</v>
      </c>
      <c r="AC31">
        <f>IF('Legend Attributes'!AC31=0,0,ROUND(IF(INDEX('Conversion Range'!$E$2:$E$35,MATCH(AC$1,'Conversion Range'!$A$2:$A$35,0))=1,INDEX('Conversion Range'!$D$2:$D$35,MATCH(AC$1,'Conversion Range'!$A$2:$A$35,0))-(('Legend Attributes'!AC31-1)/19)*(INDEX('Conversion Range'!$D$2:$D$35,MATCH(AC$1,'Conversion Range'!$A$2:$A$35,0))-INDEX('Conversion Range'!$C$2:$C$35,MATCH(AC$1,'Conversion Range'!$A$2:$A$35,0))),INDEX('Conversion Range'!$C$2:$C$35,MATCH(AC$1,'Conversion Range'!$A$2:$A$35,0))+(('Legend Attributes'!AC31-1)/19)*(INDEX('Conversion Range'!$D$2:$D$35,MATCH(AC$1,'Conversion Range'!$A$2:$A$35,0))-INDEX('Conversion Range'!$C$2:$C$35,MATCH(AC$1,'Conversion Range'!$A$2:$A$35,0)))),3))</f>
        <v>0.30399999999999999</v>
      </c>
      <c r="AD31">
        <f>IF('Legend Attributes'!AD31=0,0,ROUND(IF(INDEX('Conversion Range'!$E$2:$E$35,MATCH(AD$1,'Conversion Range'!$A$2:$A$35,0))=1,INDEX('Conversion Range'!$D$2:$D$35,MATCH(AD$1,'Conversion Range'!$A$2:$A$35,0))-(('Legend Attributes'!AD31-1)/19)*(INDEX('Conversion Range'!$D$2:$D$35,MATCH(AD$1,'Conversion Range'!$A$2:$A$35,0))-INDEX('Conversion Range'!$C$2:$C$35,MATCH(AD$1,'Conversion Range'!$A$2:$A$35,0))),INDEX('Conversion Range'!$C$2:$C$35,MATCH(AD$1,'Conversion Range'!$A$2:$A$35,0))+(('Legend Attributes'!AD31-1)/19)*(INDEX('Conversion Range'!$D$2:$D$35,MATCH(AD$1,'Conversion Range'!$A$2:$A$35,0))-INDEX('Conversion Range'!$C$2:$C$35,MATCH(AD$1,'Conversion Range'!$A$2:$A$35,0)))),3))</f>
        <v>0</v>
      </c>
      <c r="AE31">
        <f>IF('Legend Attributes'!AE31=0,0,ROUND(IF(INDEX('Conversion Range'!$E$2:$E$35,MATCH(AE$1,'Conversion Range'!$A$2:$A$35,0))=1,INDEX('Conversion Range'!$D$2:$D$35,MATCH(AE$1,'Conversion Range'!$A$2:$A$35,0))-(('Legend Attributes'!AE31-1)/19)*(INDEX('Conversion Range'!$D$2:$D$35,MATCH(AE$1,'Conversion Range'!$A$2:$A$35,0))-INDEX('Conversion Range'!$C$2:$C$35,MATCH(AE$1,'Conversion Range'!$A$2:$A$35,0))),INDEX('Conversion Range'!$C$2:$C$35,MATCH(AE$1,'Conversion Range'!$A$2:$A$35,0))+(('Legend Attributes'!AE31-1)/19)*(INDEX('Conversion Range'!$D$2:$D$35,MATCH(AE$1,'Conversion Range'!$A$2:$A$35,0))-INDEX('Conversion Range'!$C$2:$C$35,MATCH(AE$1,'Conversion Range'!$A$2:$A$35,0)))),3))</f>
        <v>0</v>
      </c>
      <c r="AF31">
        <f>IF('Legend Attributes'!AF31=0,0,ROUND(IF(INDEX('Conversion Range'!$E$2:$E$35,MATCH(AF$1,'Conversion Range'!$A$2:$A$35,0))=1,INDEX('Conversion Range'!$D$2:$D$35,MATCH(AF$1,'Conversion Range'!$A$2:$A$35,0))-(('Legend Attributes'!AF31-1)/19)*(INDEX('Conversion Range'!$D$2:$D$35,MATCH(AF$1,'Conversion Range'!$A$2:$A$35,0))-INDEX('Conversion Range'!$C$2:$C$35,MATCH(AF$1,'Conversion Range'!$A$2:$A$35,0))),INDEX('Conversion Range'!$C$2:$C$35,MATCH(AF$1,'Conversion Range'!$A$2:$A$35,0))+(('Legend Attributes'!AF31-1)/19)*(INDEX('Conversion Range'!$D$2:$D$35,MATCH(AF$1,'Conversion Range'!$A$2:$A$35,0))-INDEX('Conversion Range'!$C$2:$C$35,MATCH(AF$1,'Conversion Range'!$A$2:$A$35,0)))),3))</f>
        <v>0</v>
      </c>
      <c r="AG31">
        <f>IF('Legend Attributes'!AG31=0,0,ROUND(IF(INDEX('Conversion Range'!$E$2:$E$35,MATCH(AG$1,'Conversion Range'!$A$2:$A$35,0))=1,INDEX('Conversion Range'!$D$2:$D$35,MATCH(AG$1,'Conversion Range'!$A$2:$A$35,0))-(('Legend Attributes'!AG31-1)/19)*(INDEX('Conversion Range'!$D$2:$D$35,MATCH(AG$1,'Conversion Range'!$A$2:$A$35,0))-INDEX('Conversion Range'!$C$2:$C$35,MATCH(AG$1,'Conversion Range'!$A$2:$A$35,0))),INDEX('Conversion Range'!$C$2:$C$35,MATCH(AG$1,'Conversion Range'!$A$2:$A$35,0))+(('Legend Attributes'!AG31-1)/19)*(INDEX('Conversion Range'!$D$2:$D$35,MATCH(AG$1,'Conversion Range'!$A$2:$A$35,0))-INDEX('Conversion Range'!$C$2:$C$35,MATCH(AG$1,'Conversion Range'!$A$2:$A$35,0)))),3))</f>
        <v>1.1319999999999999</v>
      </c>
      <c r="AH31">
        <f>IF('Legend Attributes'!AH31=0,0,ROUND(IF(INDEX('Conversion Range'!$E$2:$E$35,MATCH(AH$1,'Conversion Range'!$A$2:$A$35,0))=1,INDEX('Conversion Range'!$D$2:$D$35,MATCH(AH$1,'Conversion Range'!$A$2:$A$35,0))-(('Legend Attributes'!AH31-1)/19)*(INDEX('Conversion Range'!$D$2:$D$35,MATCH(AH$1,'Conversion Range'!$A$2:$A$35,0))-INDEX('Conversion Range'!$C$2:$C$35,MATCH(AH$1,'Conversion Range'!$A$2:$A$35,0))),INDEX('Conversion Range'!$C$2:$C$35,MATCH(AH$1,'Conversion Range'!$A$2:$A$35,0))+(('Legend Attributes'!AH31-1)/19)*(INDEX('Conversion Range'!$D$2:$D$35,MATCH(AH$1,'Conversion Range'!$A$2:$A$35,0))-INDEX('Conversion Range'!$C$2:$C$35,MATCH(AH$1,'Conversion Range'!$A$2:$A$35,0)))),3))</f>
        <v>0.246</v>
      </c>
      <c r="AI31">
        <f>IF('Legend Attributes'!AI31=0,0,ROUND(IF(INDEX('Conversion Range'!$E$2:$E$35,MATCH(AI$1,'Conversion Range'!$A$2:$A$35,0))=1,INDEX('Conversion Range'!$D$2:$D$35,MATCH(AI$1,'Conversion Range'!$A$2:$A$35,0))-(('Legend Attributes'!AI31-1)/19)*(INDEX('Conversion Range'!$D$2:$D$35,MATCH(AI$1,'Conversion Range'!$A$2:$A$35,0))-INDEX('Conversion Range'!$C$2:$C$35,MATCH(AI$1,'Conversion Range'!$A$2:$A$35,0))),INDEX('Conversion Range'!$C$2:$C$35,MATCH(AI$1,'Conversion Range'!$A$2:$A$35,0))+(('Legend Attributes'!AI31-1)/19)*(INDEX('Conversion Range'!$D$2:$D$35,MATCH(AI$1,'Conversion Range'!$A$2:$A$35,0))-INDEX('Conversion Range'!$C$2:$C$35,MATCH(AI$1,'Conversion Range'!$A$2:$A$35,0)))),3))</f>
        <v>5.7000000000000002E-2</v>
      </c>
      <c r="AJ31">
        <f>IF('Legend Attributes'!AJ31=0,0,ROUND(IF(INDEX('Conversion Range'!$E$2:$E$35,MATCH(AJ$1,'Conversion Range'!$A$2:$A$35,0))=1,INDEX('Conversion Range'!$D$2:$D$35,MATCH(AJ$1,'Conversion Range'!$A$2:$A$35,0))-(('Legend Attributes'!AJ31-1)/19)*(INDEX('Conversion Range'!$D$2:$D$35,MATCH(AJ$1,'Conversion Range'!$A$2:$A$35,0))-INDEX('Conversion Range'!$C$2:$C$35,MATCH(AJ$1,'Conversion Range'!$A$2:$A$35,0))),INDEX('Conversion Range'!$C$2:$C$35,MATCH(AJ$1,'Conversion Range'!$A$2:$A$35,0))+(('Legend Attributes'!AJ31-1)/19)*(INDEX('Conversion Range'!$D$2:$D$35,MATCH(AJ$1,'Conversion Range'!$A$2:$A$35,0))-INDEX('Conversion Range'!$C$2:$C$35,MATCH(AJ$1,'Conversion Range'!$A$2:$A$35,0)))),3))</f>
        <v>7.726</v>
      </c>
    </row>
    <row r="32" spans="1:36" x14ac:dyDescent="0.35">
      <c r="A32" t="str">
        <f>'Legend Attributes'!A32</f>
        <v>Thomas Müller</v>
      </c>
      <c r="B32" t="str">
        <f>'Legend Attributes'!B32</f>
        <v>AM</v>
      </c>
      <c r="C32">
        <f>IF('Legend Attributes'!C32=0,0,ROUND(IF(INDEX('Conversion Range'!$E$2:$E$35,MATCH(C$1,'Conversion Range'!$A$2:$A$35,0))=1,INDEX('Conversion Range'!$D$2:$D$35,MATCH(C$1,'Conversion Range'!$A$2:$A$35,0))-(('Legend Attributes'!C32-1)/19)*(INDEX('Conversion Range'!$D$2:$D$35,MATCH(C$1,'Conversion Range'!$A$2:$A$35,0))-INDEX('Conversion Range'!$C$2:$C$35,MATCH(C$1,'Conversion Range'!$A$2:$A$35,0))),INDEX('Conversion Range'!$C$2:$C$35,MATCH(C$1,'Conversion Range'!$A$2:$A$35,0))+(('Legend Attributes'!C32-1)/19)*(INDEX('Conversion Range'!$D$2:$D$35,MATCH(C$1,'Conversion Range'!$A$2:$A$35,0))-INDEX('Conversion Range'!$C$2:$C$35,MATCH(C$1,'Conversion Range'!$A$2:$A$35,0)))),3))</f>
        <v>0.54400000000000004</v>
      </c>
      <c r="D32">
        <f>IF('Legend Attributes'!D32=0,0,ROUND(IF(INDEX('Conversion Range'!$E$2:$E$35,MATCH(D$1,'Conversion Range'!$A$2:$A$35,0))=1,INDEX('Conversion Range'!$D$2:$D$35,MATCH(D$1,'Conversion Range'!$A$2:$A$35,0))-(('Legend Attributes'!D32-1)/19)*(INDEX('Conversion Range'!$D$2:$D$35,MATCH(D$1,'Conversion Range'!$A$2:$A$35,0))-INDEX('Conversion Range'!$C$2:$C$35,MATCH(D$1,'Conversion Range'!$A$2:$A$35,0))),INDEX('Conversion Range'!$C$2:$C$35,MATCH(D$1,'Conversion Range'!$A$2:$A$35,0))+(('Legend Attributes'!D32-1)/19)*(INDEX('Conversion Range'!$D$2:$D$35,MATCH(D$1,'Conversion Range'!$A$2:$A$35,0))-INDEX('Conversion Range'!$C$2:$C$35,MATCH(D$1,'Conversion Range'!$A$2:$A$35,0)))),3))</f>
        <v>0.443</v>
      </c>
      <c r="E32">
        <f>IF('Legend Attributes'!E32=0,0,ROUND(IF(INDEX('Conversion Range'!$E$2:$E$35,MATCH(E$1,'Conversion Range'!$A$2:$A$35,0))=1,INDEX('Conversion Range'!$D$2:$D$35,MATCH(E$1,'Conversion Range'!$A$2:$A$35,0))-(('Legend Attributes'!E32-1)/19)*(INDEX('Conversion Range'!$D$2:$D$35,MATCH(E$1,'Conversion Range'!$A$2:$A$35,0))-INDEX('Conversion Range'!$C$2:$C$35,MATCH(E$1,'Conversion Range'!$A$2:$A$35,0))),INDEX('Conversion Range'!$C$2:$C$35,MATCH(E$1,'Conversion Range'!$A$2:$A$35,0))+(('Legend Attributes'!E32-1)/19)*(INDEX('Conversion Range'!$D$2:$D$35,MATCH(E$1,'Conversion Range'!$A$2:$A$35,0))-INDEX('Conversion Range'!$C$2:$C$35,MATCH(E$1,'Conversion Range'!$A$2:$A$35,0)))),3))</f>
        <v>0.46500000000000002</v>
      </c>
      <c r="F32">
        <f>IF('Legend Attributes'!F32=0,0,ROUND(IF(INDEX('Conversion Range'!$E$2:$E$35,MATCH(F$1,'Conversion Range'!$A$2:$A$35,0))=1,INDEX('Conversion Range'!$D$2:$D$35,MATCH(F$1,'Conversion Range'!$A$2:$A$35,0))-(('Legend Attributes'!F32-1)/19)*(INDEX('Conversion Range'!$D$2:$D$35,MATCH(F$1,'Conversion Range'!$A$2:$A$35,0))-INDEX('Conversion Range'!$C$2:$C$35,MATCH(F$1,'Conversion Range'!$A$2:$A$35,0))),INDEX('Conversion Range'!$C$2:$C$35,MATCH(F$1,'Conversion Range'!$A$2:$A$35,0))+(('Legend Attributes'!F32-1)/19)*(INDEX('Conversion Range'!$D$2:$D$35,MATCH(F$1,'Conversion Range'!$A$2:$A$35,0))-INDEX('Conversion Range'!$C$2:$C$35,MATCH(F$1,'Conversion Range'!$A$2:$A$35,0)))),3))</f>
        <v>1.974</v>
      </c>
      <c r="G32">
        <f>IF('Legend Attributes'!G32=0,0,ROUND(IF(INDEX('Conversion Range'!$E$2:$E$35,MATCH(G$1,'Conversion Range'!$A$2:$A$35,0))=1,INDEX('Conversion Range'!$D$2:$D$35,MATCH(G$1,'Conversion Range'!$A$2:$A$35,0))-(('Legend Attributes'!G32-1)/19)*(INDEX('Conversion Range'!$D$2:$D$35,MATCH(G$1,'Conversion Range'!$A$2:$A$35,0))-INDEX('Conversion Range'!$C$2:$C$35,MATCH(G$1,'Conversion Range'!$A$2:$A$35,0))),INDEX('Conversion Range'!$C$2:$C$35,MATCH(G$1,'Conversion Range'!$A$2:$A$35,0))+(('Legend Attributes'!G32-1)/19)*(INDEX('Conversion Range'!$D$2:$D$35,MATCH(G$1,'Conversion Range'!$A$2:$A$35,0))-INDEX('Conversion Range'!$C$2:$C$35,MATCH(G$1,'Conversion Range'!$A$2:$A$35,0)))),3))</f>
        <v>1.0149999999999999</v>
      </c>
      <c r="H32">
        <f>IF('Legend Attributes'!H32=0,0,ROUND(IF(INDEX('Conversion Range'!$E$2:$E$35,MATCH(H$1,'Conversion Range'!$A$2:$A$35,0))=1,INDEX('Conversion Range'!$D$2:$D$35,MATCH(H$1,'Conversion Range'!$A$2:$A$35,0))-(('Legend Attributes'!H32-1)/19)*(INDEX('Conversion Range'!$D$2:$D$35,MATCH(H$1,'Conversion Range'!$A$2:$A$35,0))-INDEX('Conversion Range'!$C$2:$C$35,MATCH(H$1,'Conversion Range'!$A$2:$A$35,0))),INDEX('Conversion Range'!$C$2:$C$35,MATCH(H$1,'Conversion Range'!$A$2:$A$35,0))+(('Legend Attributes'!H32-1)/19)*(INDEX('Conversion Range'!$D$2:$D$35,MATCH(H$1,'Conversion Range'!$A$2:$A$35,0))-INDEX('Conversion Range'!$C$2:$C$35,MATCH(H$1,'Conversion Range'!$A$2:$A$35,0)))),3))</f>
        <v>0.47399999999999998</v>
      </c>
      <c r="I32">
        <f>IF('Legend Attributes'!I32=0,0,ROUND(IF(INDEX('Conversion Range'!$E$2:$E$35,MATCH(I$1,'Conversion Range'!$A$2:$A$35,0))=1,INDEX('Conversion Range'!$D$2:$D$35,MATCH(I$1,'Conversion Range'!$A$2:$A$35,0))-(('Legend Attributes'!I32-1)/19)*(INDEX('Conversion Range'!$D$2:$D$35,MATCH(I$1,'Conversion Range'!$A$2:$A$35,0))-INDEX('Conversion Range'!$C$2:$C$35,MATCH(I$1,'Conversion Range'!$A$2:$A$35,0))),INDEX('Conversion Range'!$C$2:$C$35,MATCH(I$1,'Conversion Range'!$A$2:$A$35,0))+(('Legend Attributes'!I32-1)/19)*(INDEX('Conversion Range'!$D$2:$D$35,MATCH(I$1,'Conversion Range'!$A$2:$A$35,0))-INDEX('Conversion Range'!$C$2:$C$35,MATCH(I$1,'Conversion Range'!$A$2:$A$35,0)))),3))</f>
        <v>2.2050000000000001</v>
      </c>
      <c r="J32">
        <f>IF('Legend Attributes'!J32=0,0,ROUND(IF(INDEX('Conversion Range'!$E$2:$E$35,MATCH(J$1,'Conversion Range'!$A$2:$A$35,0))=1,INDEX('Conversion Range'!$D$2:$D$35,MATCH(J$1,'Conversion Range'!$A$2:$A$35,0))-(('Legend Attributes'!J32-1)/19)*(INDEX('Conversion Range'!$D$2:$D$35,MATCH(J$1,'Conversion Range'!$A$2:$A$35,0))-INDEX('Conversion Range'!$C$2:$C$35,MATCH(J$1,'Conversion Range'!$A$2:$A$35,0))),INDEX('Conversion Range'!$C$2:$C$35,MATCH(J$1,'Conversion Range'!$A$2:$A$35,0))+(('Legend Attributes'!J32-1)/19)*(INDEX('Conversion Range'!$D$2:$D$35,MATCH(J$1,'Conversion Range'!$A$2:$A$35,0))-INDEX('Conversion Range'!$C$2:$C$35,MATCH(J$1,'Conversion Range'!$A$2:$A$35,0)))),3))</f>
        <v>1.3420000000000001</v>
      </c>
      <c r="K32">
        <f>IF('Legend Attributes'!K32=0,0,ROUND(IF(INDEX('Conversion Range'!$E$2:$E$35,MATCH(K$1,'Conversion Range'!$A$2:$A$35,0))=1,INDEX('Conversion Range'!$D$2:$D$35,MATCH(K$1,'Conversion Range'!$A$2:$A$35,0))-(('Legend Attributes'!K32-1)/19)*(INDEX('Conversion Range'!$D$2:$D$35,MATCH(K$1,'Conversion Range'!$A$2:$A$35,0))-INDEX('Conversion Range'!$C$2:$C$35,MATCH(K$1,'Conversion Range'!$A$2:$A$35,0))),INDEX('Conversion Range'!$C$2:$C$35,MATCH(K$1,'Conversion Range'!$A$2:$A$35,0))+(('Legend Attributes'!K32-1)/19)*(INDEX('Conversion Range'!$D$2:$D$35,MATCH(K$1,'Conversion Range'!$A$2:$A$35,0))-INDEX('Conversion Range'!$C$2:$C$35,MATCH(K$1,'Conversion Range'!$A$2:$A$35,0)))),3))</f>
        <v>0.91100000000000003</v>
      </c>
      <c r="L32">
        <f>IF('Legend Attributes'!L32=0,0,ROUND(IF(INDEX('Conversion Range'!$E$2:$E$35,MATCH(L$1,'Conversion Range'!$A$2:$A$35,0))=1,INDEX('Conversion Range'!$D$2:$D$35,MATCH(L$1,'Conversion Range'!$A$2:$A$35,0))-(('Legend Attributes'!L32-1)/19)*(INDEX('Conversion Range'!$D$2:$D$35,MATCH(L$1,'Conversion Range'!$A$2:$A$35,0))-INDEX('Conversion Range'!$C$2:$C$35,MATCH(L$1,'Conversion Range'!$A$2:$A$35,0))),INDEX('Conversion Range'!$C$2:$C$35,MATCH(L$1,'Conversion Range'!$A$2:$A$35,0))+(('Legend Attributes'!L32-1)/19)*(INDEX('Conversion Range'!$D$2:$D$35,MATCH(L$1,'Conversion Range'!$A$2:$A$35,0))-INDEX('Conversion Range'!$C$2:$C$35,MATCH(L$1,'Conversion Range'!$A$2:$A$35,0)))),3))</f>
        <v>0.32600000000000001</v>
      </c>
      <c r="M32">
        <f>IF('Legend Attributes'!M32=0,0,ROUND(IF(INDEX('Conversion Range'!$E$2:$E$35,MATCH(M$1,'Conversion Range'!$A$2:$A$35,0))=1,INDEX('Conversion Range'!$D$2:$D$35,MATCH(M$1,'Conversion Range'!$A$2:$A$35,0))-(('Legend Attributes'!M32-1)/19)*(INDEX('Conversion Range'!$D$2:$D$35,MATCH(M$1,'Conversion Range'!$A$2:$A$35,0))-INDEX('Conversion Range'!$C$2:$C$35,MATCH(M$1,'Conversion Range'!$A$2:$A$35,0))),INDEX('Conversion Range'!$C$2:$C$35,MATCH(M$1,'Conversion Range'!$A$2:$A$35,0))+(('Legend Attributes'!M32-1)/19)*(INDEX('Conversion Range'!$D$2:$D$35,MATCH(M$1,'Conversion Range'!$A$2:$A$35,0))-INDEX('Conversion Range'!$C$2:$C$35,MATCH(M$1,'Conversion Range'!$A$2:$A$35,0)))),3))</f>
        <v>0.16800000000000001</v>
      </c>
      <c r="N32">
        <f>IF('Legend Attributes'!N32=0,0,ROUND(IF(INDEX('Conversion Range'!$E$2:$E$35,MATCH(N$1,'Conversion Range'!$A$2:$A$35,0))=1,INDEX('Conversion Range'!$D$2:$D$35,MATCH(N$1,'Conversion Range'!$A$2:$A$35,0))-(('Legend Attributes'!N32-1)/19)*(INDEX('Conversion Range'!$D$2:$D$35,MATCH(N$1,'Conversion Range'!$A$2:$A$35,0))-INDEX('Conversion Range'!$C$2:$C$35,MATCH(N$1,'Conversion Range'!$A$2:$A$35,0))),INDEX('Conversion Range'!$C$2:$C$35,MATCH(N$1,'Conversion Range'!$A$2:$A$35,0))+(('Legend Attributes'!N32-1)/19)*(INDEX('Conversion Range'!$D$2:$D$35,MATCH(N$1,'Conversion Range'!$A$2:$A$35,0))-INDEX('Conversion Range'!$C$2:$C$35,MATCH(N$1,'Conversion Range'!$A$2:$A$35,0)))),3))</f>
        <v>5.5529999999999999</v>
      </c>
      <c r="O32">
        <f>IF('Legend Attributes'!O32=0,0,ROUND(IF(INDEX('Conversion Range'!$E$2:$E$35,MATCH(O$1,'Conversion Range'!$A$2:$A$35,0))=1,INDEX('Conversion Range'!$D$2:$D$35,MATCH(O$1,'Conversion Range'!$A$2:$A$35,0))-(('Legend Attributes'!O32-1)/19)*(INDEX('Conversion Range'!$D$2:$D$35,MATCH(O$1,'Conversion Range'!$A$2:$A$35,0))-INDEX('Conversion Range'!$C$2:$C$35,MATCH(O$1,'Conversion Range'!$A$2:$A$35,0))),INDEX('Conversion Range'!$C$2:$C$35,MATCH(O$1,'Conversion Range'!$A$2:$A$35,0))+(('Legend Attributes'!O32-1)/19)*(INDEX('Conversion Range'!$D$2:$D$35,MATCH(O$1,'Conversion Range'!$A$2:$A$35,0))-INDEX('Conversion Range'!$C$2:$C$35,MATCH(O$1,'Conversion Range'!$A$2:$A$35,0)))),3))</f>
        <v>1.079</v>
      </c>
      <c r="P32">
        <f>IF('Legend Attributes'!P32=0,0,ROUND(IF(INDEX('Conversion Range'!$E$2:$E$35,MATCH(P$1,'Conversion Range'!$A$2:$A$35,0))=1,INDEX('Conversion Range'!$D$2:$D$35,MATCH(P$1,'Conversion Range'!$A$2:$A$35,0))-(('Legend Attributes'!P32-1)/19)*(INDEX('Conversion Range'!$D$2:$D$35,MATCH(P$1,'Conversion Range'!$A$2:$A$35,0))-INDEX('Conversion Range'!$C$2:$C$35,MATCH(P$1,'Conversion Range'!$A$2:$A$35,0))),INDEX('Conversion Range'!$C$2:$C$35,MATCH(P$1,'Conversion Range'!$A$2:$A$35,0))+(('Legend Attributes'!P32-1)/19)*(INDEX('Conversion Range'!$D$2:$D$35,MATCH(P$1,'Conversion Range'!$A$2:$A$35,0))-INDEX('Conversion Range'!$C$2:$C$35,MATCH(P$1,'Conversion Range'!$A$2:$A$35,0)))),3))</f>
        <v>56.052999999999997</v>
      </c>
      <c r="Q32">
        <f>IF('Legend Attributes'!Q32=0,0,ROUND(IF(INDEX('Conversion Range'!$E$2:$E$35,MATCH(Q$1,'Conversion Range'!$A$2:$A$35,0))=1,INDEX('Conversion Range'!$D$2:$D$35,MATCH(Q$1,'Conversion Range'!$A$2:$A$35,0))-(('Legend Attributes'!Q32-1)/19)*(INDEX('Conversion Range'!$D$2:$D$35,MATCH(Q$1,'Conversion Range'!$A$2:$A$35,0))-INDEX('Conversion Range'!$C$2:$C$35,MATCH(Q$1,'Conversion Range'!$A$2:$A$35,0))),INDEX('Conversion Range'!$C$2:$C$35,MATCH(Q$1,'Conversion Range'!$A$2:$A$35,0))+(('Legend Attributes'!Q32-1)/19)*(INDEX('Conversion Range'!$D$2:$D$35,MATCH(Q$1,'Conversion Range'!$A$2:$A$35,0))-INDEX('Conversion Range'!$C$2:$C$35,MATCH(Q$1,'Conversion Range'!$A$2:$A$35,0)))),3))</f>
        <v>48.895000000000003</v>
      </c>
      <c r="R32">
        <f>IF('Legend Attributes'!R32=0,0,ROUND(IF(INDEX('Conversion Range'!$E$2:$E$35,MATCH(R$1,'Conversion Range'!$A$2:$A$35,0))=1,INDEX('Conversion Range'!$D$2:$D$35,MATCH(R$1,'Conversion Range'!$A$2:$A$35,0))-(('Legend Attributes'!R32-1)/19)*(INDEX('Conversion Range'!$D$2:$D$35,MATCH(R$1,'Conversion Range'!$A$2:$A$35,0))-INDEX('Conversion Range'!$C$2:$C$35,MATCH(R$1,'Conversion Range'!$A$2:$A$35,0))),INDEX('Conversion Range'!$C$2:$C$35,MATCH(R$1,'Conversion Range'!$A$2:$A$35,0))+(('Legend Attributes'!R32-1)/19)*(INDEX('Conversion Range'!$D$2:$D$35,MATCH(R$1,'Conversion Range'!$A$2:$A$35,0))-INDEX('Conversion Range'!$C$2:$C$35,MATCH(R$1,'Conversion Range'!$A$2:$A$35,0)))),3))</f>
        <v>82.367999999999995</v>
      </c>
      <c r="S32">
        <f>IF('Legend Attributes'!S32=0,0,ROUND(IF(INDEX('Conversion Range'!$E$2:$E$35,MATCH(S$1,'Conversion Range'!$A$2:$A$35,0))=1,INDEX('Conversion Range'!$D$2:$D$35,MATCH(S$1,'Conversion Range'!$A$2:$A$35,0))-(('Legend Attributes'!S32-1)/19)*(INDEX('Conversion Range'!$D$2:$D$35,MATCH(S$1,'Conversion Range'!$A$2:$A$35,0))-INDEX('Conversion Range'!$C$2:$C$35,MATCH(S$1,'Conversion Range'!$A$2:$A$35,0))),INDEX('Conversion Range'!$C$2:$C$35,MATCH(S$1,'Conversion Range'!$A$2:$A$35,0))+(('Legend Attributes'!S32-1)/19)*(INDEX('Conversion Range'!$D$2:$D$35,MATCH(S$1,'Conversion Range'!$A$2:$A$35,0))-INDEX('Conversion Range'!$C$2:$C$35,MATCH(S$1,'Conversion Range'!$A$2:$A$35,0)))),3))</f>
        <v>2.4580000000000002</v>
      </c>
      <c r="T32">
        <f>IF('Legend Attributes'!T32=0,0,ROUND(IF(INDEX('Conversion Range'!$E$2:$E$35,MATCH(T$1,'Conversion Range'!$A$2:$A$35,0))=1,INDEX('Conversion Range'!$D$2:$D$35,MATCH(T$1,'Conversion Range'!$A$2:$A$35,0))-(('Legend Attributes'!T32-1)/19)*(INDEX('Conversion Range'!$D$2:$D$35,MATCH(T$1,'Conversion Range'!$A$2:$A$35,0))-INDEX('Conversion Range'!$C$2:$C$35,MATCH(T$1,'Conversion Range'!$A$2:$A$35,0))),INDEX('Conversion Range'!$C$2:$C$35,MATCH(T$1,'Conversion Range'!$A$2:$A$35,0))+(('Legend Attributes'!T32-1)/19)*(INDEX('Conversion Range'!$D$2:$D$35,MATCH(T$1,'Conversion Range'!$A$2:$A$35,0))-INDEX('Conversion Range'!$C$2:$C$35,MATCH(T$1,'Conversion Range'!$A$2:$A$35,0)))),3))</f>
        <v>40.841999999999999</v>
      </c>
      <c r="U32">
        <f>IF('Legend Attributes'!U32=0,0,ROUND(IF(INDEX('Conversion Range'!$E$2:$E$35,MATCH(U$1,'Conversion Range'!$A$2:$A$35,0))=1,INDEX('Conversion Range'!$D$2:$D$35,MATCH(U$1,'Conversion Range'!$A$2:$A$35,0))-(('Legend Attributes'!U32-1)/19)*(INDEX('Conversion Range'!$D$2:$D$35,MATCH(U$1,'Conversion Range'!$A$2:$A$35,0))-INDEX('Conversion Range'!$C$2:$C$35,MATCH(U$1,'Conversion Range'!$A$2:$A$35,0))),INDEX('Conversion Range'!$C$2:$C$35,MATCH(U$1,'Conversion Range'!$A$2:$A$35,0))+(('Legend Attributes'!U32-1)/19)*(INDEX('Conversion Range'!$D$2:$D$35,MATCH(U$1,'Conversion Range'!$A$2:$A$35,0))-INDEX('Conversion Range'!$C$2:$C$35,MATCH(U$1,'Conversion Range'!$A$2:$A$35,0)))),3))</f>
        <v>1.6679999999999999</v>
      </c>
      <c r="V32">
        <f>IF('Legend Attributes'!V32=0,0,ROUND(IF(INDEX('Conversion Range'!$E$2:$E$35,MATCH(V$1,'Conversion Range'!$A$2:$A$35,0))=1,INDEX('Conversion Range'!$D$2:$D$35,MATCH(V$1,'Conversion Range'!$A$2:$A$35,0))-(('Legend Attributes'!V32-1)/19)*(INDEX('Conversion Range'!$D$2:$D$35,MATCH(V$1,'Conversion Range'!$A$2:$A$35,0))-INDEX('Conversion Range'!$C$2:$C$35,MATCH(V$1,'Conversion Range'!$A$2:$A$35,0))),INDEX('Conversion Range'!$C$2:$C$35,MATCH(V$1,'Conversion Range'!$A$2:$A$35,0))+(('Legend Attributes'!V32-1)/19)*(INDEX('Conversion Range'!$D$2:$D$35,MATCH(V$1,'Conversion Range'!$A$2:$A$35,0))-INDEX('Conversion Range'!$C$2:$C$35,MATCH(V$1,'Conversion Range'!$A$2:$A$35,0)))),3))</f>
        <v>46.579000000000001</v>
      </c>
      <c r="W32">
        <f>IF('Legend Attributes'!W32=0,0,ROUND(IF(INDEX('Conversion Range'!$E$2:$E$35,MATCH(W$1,'Conversion Range'!$A$2:$A$35,0))=1,INDEX('Conversion Range'!$D$2:$D$35,MATCH(W$1,'Conversion Range'!$A$2:$A$35,0))-(('Legend Attributes'!W32-1)/19)*(INDEX('Conversion Range'!$D$2:$D$35,MATCH(W$1,'Conversion Range'!$A$2:$A$35,0))-INDEX('Conversion Range'!$C$2:$C$35,MATCH(W$1,'Conversion Range'!$A$2:$A$35,0))),INDEX('Conversion Range'!$C$2:$C$35,MATCH(W$1,'Conversion Range'!$A$2:$A$35,0))+(('Legend Attributes'!W32-1)/19)*(INDEX('Conversion Range'!$D$2:$D$35,MATCH(W$1,'Conversion Range'!$A$2:$A$35,0))-INDEX('Conversion Range'!$C$2:$C$35,MATCH(W$1,'Conversion Range'!$A$2:$A$35,0)))),3))</f>
        <v>0.42099999999999999</v>
      </c>
      <c r="X32">
        <f>IF('Legend Attributes'!X32=0,0,ROUND(IF(INDEX('Conversion Range'!$E$2:$E$35,MATCH(X$1,'Conversion Range'!$A$2:$A$35,0))=1,INDEX('Conversion Range'!$D$2:$D$35,MATCH(X$1,'Conversion Range'!$A$2:$A$35,0))-(('Legend Attributes'!X32-1)/19)*(INDEX('Conversion Range'!$D$2:$D$35,MATCH(X$1,'Conversion Range'!$A$2:$A$35,0))-INDEX('Conversion Range'!$C$2:$C$35,MATCH(X$1,'Conversion Range'!$A$2:$A$35,0))),INDEX('Conversion Range'!$C$2:$C$35,MATCH(X$1,'Conversion Range'!$A$2:$A$35,0))+(('Legend Attributes'!X32-1)/19)*(INDEX('Conversion Range'!$D$2:$D$35,MATCH(X$1,'Conversion Range'!$A$2:$A$35,0))-INDEX('Conversion Range'!$C$2:$C$35,MATCH(X$1,'Conversion Range'!$A$2:$A$35,0)))),3))</f>
        <v>0.92600000000000005</v>
      </c>
      <c r="Y32">
        <f>IF('Legend Attributes'!Y32=0,0,ROUND(IF(INDEX('Conversion Range'!$E$2:$E$35,MATCH(Y$1,'Conversion Range'!$A$2:$A$35,0))=1,INDEX('Conversion Range'!$D$2:$D$35,MATCH(Y$1,'Conversion Range'!$A$2:$A$35,0))-(('Legend Attributes'!Y32-1)/19)*(INDEX('Conversion Range'!$D$2:$D$35,MATCH(Y$1,'Conversion Range'!$A$2:$A$35,0))-INDEX('Conversion Range'!$C$2:$C$35,MATCH(Y$1,'Conversion Range'!$A$2:$A$35,0))),INDEX('Conversion Range'!$C$2:$C$35,MATCH(Y$1,'Conversion Range'!$A$2:$A$35,0))+(('Legend Attributes'!Y32-1)/19)*(INDEX('Conversion Range'!$D$2:$D$35,MATCH(Y$1,'Conversion Range'!$A$2:$A$35,0))-INDEX('Conversion Range'!$C$2:$C$35,MATCH(Y$1,'Conversion Range'!$A$2:$A$35,0)))),3))</f>
        <v>0.379</v>
      </c>
      <c r="Z32">
        <f>IF('Legend Attributes'!Z32=0,0,ROUND(IF(INDEX('Conversion Range'!$E$2:$E$35,MATCH(Z$1,'Conversion Range'!$A$2:$A$35,0))=1,INDEX('Conversion Range'!$D$2:$D$35,MATCH(Z$1,'Conversion Range'!$A$2:$A$35,0))-(('Legend Attributes'!Z32-1)/19)*(INDEX('Conversion Range'!$D$2:$D$35,MATCH(Z$1,'Conversion Range'!$A$2:$A$35,0))-INDEX('Conversion Range'!$C$2:$C$35,MATCH(Z$1,'Conversion Range'!$A$2:$A$35,0))),INDEX('Conversion Range'!$C$2:$C$35,MATCH(Z$1,'Conversion Range'!$A$2:$A$35,0))+(('Legend Attributes'!Z32-1)/19)*(INDEX('Conversion Range'!$D$2:$D$35,MATCH(Z$1,'Conversion Range'!$A$2:$A$35,0))-INDEX('Conversion Range'!$C$2:$C$35,MATCH(Z$1,'Conversion Range'!$A$2:$A$35,0)))),3))</f>
        <v>8.7629999999999999</v>
      </c>
      <c r="AA32">
        <f>IF('Legend Attributes'!AA32=0,0,ROUND(IF(INDEX('Conversion Range'!$E$2:$E$35,MATCH(AA$1,'Conversion Range'!$A$2:$A$35,0))=1,INDEX('Conversion Range'!$D$2:$D$35,MATCH(AA$1,'Conversion Range'!$A$2:$A$35,0))-(('Legend Attributes'!AA32-1)/19)*(INDEX('Conversion Range'!$D$2:$D$35,MATCH(AA$1,'Conversion Range'!$A$2:$A$35,0))-INDEX('Conversion Range'!$C$2:$C$35,MATCH(AA$1,'Conversion Range'!$A$2:$A$35,0))),INDEX('Conversion Range'!$C$2:$C$35,MATCH(AA$1,'Conversion Range'!$A$2:$A$35,0))+(('Legend Attributes'!AA32-1)/19)*(INDEX('Conversion Range'!$D$2:$D$35,MATCH(AA$1,'Conversion Range'!$A$2:$A$35,0))-INDEX('Conversion Range'!$C$2:$C$35,MATCH(AA$1,'Conversion Range'!$A$2:$A$35,0)))),3))</f>
        <v>3.6999999999999998E-2</v>
      </c>
      <c r="AB32">
        <f>IF('Legend Attributes'!AB32=0,0,ROUND(IF(INDEX('Conversion Range'!$E$2:$E$35,MATCH(AB$1,'Conversion Range'!$A$2:$A$35,0))=1,INDEX('Conversion Range'!$D$2:$D$35,MATCH(AB$1,'Conversion Range'!$A$2:$A$35,0))-(('Legend Attributes'!AB32-1)/19)*(INDEX('Conversion Range'!$D$2:$D$35,MATCH(AB$1,'Conversion Range'!$A$2:$A$35,0))-INDEX('Conversion Range'!$C$2:$C$35,MATCH(AB$1,'Conversion Range'!$A$2:$A$35,0))),INDEX('Conversion Range'!$C$2:$C$35,MATCH(AB$1,'Conversion Range'!$A$2:$A$35,0))+(('Legend Attributes'!AB32-1)/19)*(INDEX('Conversion Range'!$D$2:$D$35,MATCH(AB$1,'Conversion Range'!$A$2:$A$35,0))-INDEX('Conversion Range'!$C$2:$C$35,MATCH(AB$1,'Conversion Range'!$A$2:$A$35,0)))),3))</f>
        <v>0.80800000000000005</v>
      </c>
      <c r="AC32">
        <f>IF('Legend Attributes'!AC32=0,0,ROUND(IF(INDEX('Conversion Range'!$E$2:$E$35,MATCH(AC$1,'Conversion Range'!$A$2:$A$35,0))=1,INDEX('Conversion Range'!$D$2:$D$35,MATCH(AC$1,'Conversion Range'!$A$2:$A$35,0))-(('Legend Attributes'!AC32-1)/19)*(INDEX('Conversion Range'!$D$2:$D$35,MATCH(AC$1,'Conversion Range'!$A$2:$A$35,0))-INDEX('Conversion Range'!$C$2:$C$35,MATCH(AC$1,'Conversion Range'!$A$2:$A$35,0))),INDEX('Conversion Range'!$C$2:$C$35,MATCH(AC$1,'Conversion Range'!$A$2:$A$35,0))+(('Legend Attributes'!AC32-1)/19)*(INDEX('Conversion Range'!$D$2:$D$35,MATCH(AC$1,'Conversion Range'!$A$2:$A$35,0))-INDEX('Conversion Range'!$C$2:$C$35,MATCH(AC$1,'Conversion Range'!$A$2:$A$35,0)))),3))</f>
        <v>0.441</v>
      </c>
      <c r="AD32">
        <f>IF('Legend Attributes'!AD32=0,0,ROUND(IF(INDEX('Conversion Range'!$E$2:$E$35,MATCH(AD$1,'Conversion Range'!$A$2:$A$35,0))=1,INDEX('Conversion Range'!$D$2:$D$35,MATCH(AD$1,'Conversion Range'!$A$2:$A$35,0))-(('Legend Attributes'!AD32-1)/19)*(INDEX('Conversion Range'!$D$2:$D$35,MATCH(AD$1,'Conversion Range'!$A$2:$A$35,0))-INDEX('Conversion Range'!$C$2:$C$35,MATCH(AD$1,'Conversion Range'!$A$2:$A$35,0))),INDEX('Conversion Range'!$C$2:$C$35,MATCH(AD$1,'Conversion Range'!$A$2:$A$35,0))+(('Legend Attributes'!AD32-1)/19)*(INDEX('Conversion Range'!$D$2:$D$35,MATCH(AD$1,'Conversion Range'!$A$2:$A$35,0))-INDEX('Conversion Range'!$C$2:$C$35,MATCH(AD$1,'Conversion Range'!$A$2:$A$35,0)))),3))</f>
        <v>0</v>
      </c>
      <c r="AE32">
        <f>IF('Legend Attributes'!AE32=0,0,ROUND(IF(INDEX('Conversion Range'!$E$2:$E$35,MATCH(AE$1,'Conversion Range'!$A$2:$A$35,0))=1,INDEX('Conversion Range'!$D$2:$D$35,MATCH(AE$1,'Conversion Range'!$A$2:$A$35,0))-(('Legend Attributes'!AE32-1)/19)*(INDEX('Conversion Range'!$D$2:$D$35,MATCH(AE$1,'Conversion Range'!$A$2:$A$35,0))-INDEX('Conversion Range'!$C$2:$C$35,MATCH(AE$1,'Conversion Range'!$A$2:$A$35,0))),INDEX('Conversion Range'!$C$2:$C$35,MATCH(AE$1,'Conversion Range'!$A$2:$A$35,0))+(('Legend Attributes'!AE32-1)/19)*(INDEX('Conversion Range'!$D$2:$D$35,MATCH(AE$1,'Conversion Range'!$A$2:$A$35,0))-INDEX('Conversion Range'!$C$2:$C$35,MATCH(AE$1,'Conversion Range'!$A$2:$A$35,0)))),3))</f>
        <v>0</v>
      </c>
      <c r="AF32">
        <f>IF('Legend Attributes'!AF32=0,0,ROUND(IF(INDEX('Conversion Range'!$E$2:$E$35,MATCH(AF$1,'Conversion Range'!$A$2:$A$35,0))=1,INDEX('Conversion Range'!$D$2:$D$35,MATCH(AF$1,'Conversion Range'!$A$2:$A$35,0))-(('Legend Attributes'!AF32-1)/19)*(INDEX('Conversion Range'!$D$2:$D$35,MATCH(AF$1,'Conversion Range'!$A$2:$A$35,0))-INDEX('Conversion Range'!$C$2:$C$35,MATCH(AF$1,'Conversion Range'!$A$2:$A$35,0))),INDEX('Conversion Range'!$C$2:$C$35,MATCH(AF$1,'Conversion Range'!$A$2:$A$35,0))+(('Legend Attributes'!AF32-1)/19)*(INDEX('Conversion Range'!$D$2:$D$35,MATCH(AF$1,'Conversion Range'!$A$2:$A$35,0))-INDEX('Conversion Range'!$C$2:$C$35,MATCH(AF$1,'Conversion Range'!$A$2:$A$35,0)))),3))</f>
        <v>0</v>
      </c>
      <c r="AG32">
        <f>IF('Legend Attributes'!AG32=0,0,ROUND(IF(INDEX('Conversion Range'!$E$2:$E$35,MATCH(AG$1,'Conversion Range'!$A$2:$A$35,0))=1,INDEX('Conversion Range'!$D$2:$D$35,MATCH(AG$1,'Conversion Range'!$A$2:$A$35,0))-(('Legend Attributes'!AG32-1)/19)*(INDEX('Conversion Range'!$D$2:$D$35,MATCH(AG$1,'Conversion Range'!$A$2:$A$35,0))-INDEX('Conversion Range'!$C$2:$C$35,MATCH(AG$1,'Conversion Range'!$A$2:$A$35,0))),INDEX('Conversion Range'!$C$2:$C$35,MATCH(AG$1,'Conversion Range'!$A$2:$A$35,0))+(('Legend Attributes'!AG32-1)/19)*(INDEX('Conversion Range'!$D$2:$D$35,MATCH(AG$1,'Conversion Range'!$A$2:$A$35,0))-INDEX('Conversion Range'!$C$2:$C$35,MATCH(AG$1,'Conversion Range'!$A$2:$A$35,0)))),3))</f>
        <v>1.1319999999999999</v>
      </c>
      <c r="AH32">
        <f>IF('Legend Attributes'!AH32=0,0,ROUND(IF(INDEX('Conversion Range'!$E$2:$E$35,MATCH(AH$1,'Conversion Range'!$A$2:$A$35,0))=1,INDEX('Conversion Range'!$D$2:$D$35,MATCH(AH$1,'Conversion Range'!$A$2:$A$35,0))-(('Legend Attributes'!AH32-1)/19)*(INDEX('Conversion Range'!$D$2:$D$35,MATCH(AH$1,'Conversion Range'!$A$2:$A$35,0))-INDEX('Conversion Range'!$C$2:$C$35,MATCH(AH$1,'Conversion Range'!$A$2:$A$35,0))),INDEX('Conversion Range'!$C$2:$C$35,MATCH(AH$1,'Conversion Range'!$A$2:$A$35,0))+(('Legend Attributes'!AH32-1)/19)*(INDEX('Conversion Range'!$D$2:$D$35,MATCH(AH$1,'Conversion Range'!$A$2:$A$35,0))-INDEX('Conversion Range'!$C$2:$C$35,MATCH(AH$1,'Conversion Range'!$A$2:$A$35,0)))),3))</f>
        <v>0.20100000000000001</v>
      </c>
      <c r="AI32">
        <f>IF('Legend Attributes'!AI32=0,0,ROUND(IF(INDEX('Conversion Range'!$E$2:$E$35,MATCH(AI$1,'Conversion Range'!$A$2:$A$35,0))=1,INDEX('Conversion Range'!$D$2:$D$35,MATCH(AI$1,'Conversion Range'!$A$2:$A$35,0))-(('Legend Attributes'!AI32-1)/19)*(INDEX('Conversion Range'!$D$2:$D$35,MATCH(AI$1,'Conversion Range'!$A$2:$A$35,0))-INDEX('Conversion Range'!$C$2:$C$35,MATCH(AI$1,'Conversion Range'!$A$2:$A$35,0))),INDEX('Conversion Range'!$C$2:$C$35,MATCH(AI$1,'Conversion Range'!$A$2:$A$35,0))+(('Legend Attributes'!AI32-1)/19)*(INDEX('Conversion Range'!$D$2:$D$35,MATCH(AI$1,'Conversion Range'!$A$2:$A$35,0))-INDEX('Conversion Range'!$C$2:$C$35,MATCH(AI$1,'Conversion Range'!$A$2:$A$35,0)))),3))</f>
        <v>4.3999999999999997E-2</v>
      </c>
      <c r="AJ32">
        <f>IF('Legend Attributes'!AJ32=0,0,ROUND(IF(INDEX('Conversion Range'!$E$2:$E$35,MATCH(AJ$1,'Conversion Range'!$A$2:$A$35,0))=1,INDEX('Conversion Range'!$D$2:$D$35,MATCH(AJ$1,'Conversion Range'!$A$2:$A$35,0))-(('Legend Attributes'!AJ32-1)/19)*(INDEX('Conversion Range'!$D$2:$D$35,MATCH(AJ$1,'Conversion Range'!$A$2:$A$35,0))-INDEX('Conversion Range'!$C$2:$C$35,MATCH(AJ$1,'Conversion Range'!$A$2:$A$35,0))),INDEX('Conversion Range'!$C$2:$C$35,MATCH(AJ$1,'Conversion Range'!$A$2:$A$35,0))+(('Legend Attributes'!AJ32-1)/19)*(INDEX('Conversion Range'!$D$2:$D$35,MATCH(AJ$1,'Conversion Range'!$A$2:$A$35,0))-INDEX('Conversion Range'!$C$2:$C$35,MATCH(AJ$1,'Conversion Range'!$A$2:$A$35,0)))),3))</f>
        <v>7.726</v>
      </c>
    </row>
    <row r="33" spans="1:36" x14ac:dyDescent="0.35">
      <c r="A33" t="str">
        <f>'Legend Attributes'!A33</f>
        <v>Tony Adams</v>
      </c>
      <c r="B33" t="str">
        <f>'Legend Attributes'!B33</f>
        <v>CB</v>
      </c>
      <c r="C33">
        <f>IF('Legend Attributes'!C33=0,0,ROUND(IF(INDEX('Conversion Range'!$E$2:$E$35,MATCH(C$1,'Conversion Range'!$A$2:$A$35,0))=1,INDEX('Conversion Range'!$D$2:$D$35,MATCH(C$1,'Conversion Range'!$A$2:$A$35,0))-(('Legend Attributes'!C33-1)/19)*(INDEX('Conversion Range'!$D$2:$D$35,MATCH(C$1,'Conversion Range'!$A$2:$A$35,0))-INDEX('Conversion Range'!$C$2:$C$35,MATCH(C$1,'Conversion Range'!$A$2:$A$35,0))),INDEX('Conversion Range'!$C$2:$C$35,MATCH(C$1,'Conversion Range'!$A$2:$A$35,0))+(('Legend Attributes'!C33-1)/19)*(INDEX('Conversion Range'!$D$2:$D$35,MATCH(C$1,'Conversion Range'!$A$2:$A$35,0))-INDEX('Conversion Range'!$C$2:$C$35,MATCH(C$1,'Conversion Range'!$A$2:$A$35,0)))),3))</f>
        <v>6.4000000000000001E-2</v>
      </c>
      <c r="D33">
        <f>IF('Legend Attributes'!D33=0,0,ROUND(IF(INDEX('Conversion Range'!$E$2:$E$35,MATCH(D$1,'Conversion Range'!$A$2:$A$35,0))=1,INDEX('Conversion Range'!$D$2:$D$35,MATCH(D$1,'Conversion Range'!$A$2:$A$35,0))-(('Legend Attributes'!D33-1)/19)*(INDEX('Conversion Range'!$D$2:$D$35,MATCH(D$1,'Conversion Range'!$A$2:$A$35,0))-INDEX('Conversion Range'!$C$2:$C$35,MATCH(D$1,'Conversion Range'!$A$2:$A$35,0))),INDEX('Conversion Range'!$C$2:$C$35,MATCH(D$1,'Conversion Range'!$A$2:$A$35,0))+(('Legend Attributes'!D33-1)/19)*(INDEX('Conversion Range'!$D$2:$D$35,MATCH(D$1,'Conversion Range'!$A$2:$A$35,0))-INDEX('Conversion Range'!$C$2:$C$35,MATCH(D$1,'Conversion Range'!$A$2:$A$35,0)))),3))</f>
        <v>5.8000000000000003E-2</v>
      </c>
      <c r="E33">
        <f>IF('Legend Attributes'!E33=0,0,ROUND(IF(INDEX('Conversion Range'!$E$2:$E$35,MATCH(E$1,'Conversion Range'!$A$2:$A$35,0))=1,INDEX('Conversion Range'!$D$2:$D$35,MATCH(E$1,'Conversion Range'!$A$2:$A$35,0))-(('Legend Attributes'!E33-1)/19)*(INDEX('Conversion Range'!$D$2:$D$35,MATCH(E$1,'Conversion Range'!$A$2:$A$35,0))-INDEX('Conversion Range'!$C$2:$C$35,MATCH(E$1,'Conversion Range'!$A$2:$A$35,0))),INDEX('Conversion Range'!$C$2:$C$35,MATCH(E$1,'Conversion Range'!$A$2:$A$35,0))+(('Legend Attributes'!E33-1)/19)*(INDEX('Conversion Range'!$D$2:$D$35,MATCH(E$1,'Conversion Range'!$A$2:$A$35,0))-INDEX('Conversion Range'!$C$2:$C$35,MATCH(E$1,'Conversion Range'!$A$2:$A$35,0)))),3))</f>
        <v>3.7999999999999999E-2</v>
      </c>
      <c r="F33">
        <f>IF('Legend Attributes'!F33=0,0,ROUND(IF(INDEX('Conversion Range'!$E$2:$E$35,MATCH(F$1,'Conversion Range'!$A$2:$A$35,0))=1,INDEX('Conversion Range'!$D$2:$D$35,MATCH(F$1,'Conversion Range'!$A$2:$A$35,0))-(('Legend Attributes'!F33-1)/19)*(INDEX('Conversion Range'!$D$2:$D$35,MATCH(F$1,'Conversion Range'!$A$2:$A$35,0))-INDEX('Conversion Range'!$C$2:$C$35,MATCH(F$1,'Conversion Range'!$A$2:$A$35,0))),INDEX('Conversion Range'!$C$2:$C$35,MATCH(F$1,'Conversion Range'!$A$2:$A$35,0))+(('Legend Attributes'!F33-1)/19)*(INDEX('Conversion Range'!$D$2:$D$35,MATCH(F$1,'Conversion Range'!$A$2:$A$35,0))-INDEX('Conversion Range'!$C$2:$C$35,MATCH(F$1,'Conversion Range'!$A$2:$A$35,0)))),3))</f>
        <v>0.55500000000000005</v>
      </c>
      <c r="G33">
        <f>IF('Legend Attributes'!G33=0,0,ROUND(IF(INDEX('Conversion Range'!$E$2:$E$35,MATCH(G$1,'Conversion Range'!$A$2:$A$35,0))=1,INDEX('Conversion Range'!$D$2:$D$35,MATCH(G$1,'Conversion Range'!$A$2:$A$35,0))-(('Legend Attributes'!G33-1)/19)*(INDEX('Conversion Range'!$D$2:$D$35,MATCH(G$1,'Conversion Range'!$A$2:$A$35,0))-INDEX('Conversion Range'!$C$2:$C$35,MATCH(G$1,'Conversion Range'!$A$2:$A$35,0))),INDEX('Conversion Range'!$C$2:$C$35,MATCH(G$1,'Conversion Range'!$A$2:$A$35,0))+(('Legend Attributes'!G33-1)/19)*(INDEX('Conversion Range'!$D$2:$D$35,MATCH(G$1,'Conversion Range'!$A$2:$A$35,0))-INDEX('Conversion Range'!$C$2:$C$35,MATCH(G$1,'Conversion Range'!$A$2:$A$35,0)))),3))</f>
        <v>0.19700000000000001</v>
      </c>
      <c r="H33">
        <f>IF('Legend Attributes'!H33=0,0,ROUND(IF(INDEX('Conversion Range'!$E$2:$E$35,MATCH(H$1,'Conversion Range'!$A$2:$A$35,0))=1,INDEX('Conversion Range'!$D$2:$D$35,MATCH(H$1,'Conversion Range'!$A$2:$A$35,0))-(('Legend Attributes'!H33-1)/19)*(INDEX('Conversion Range'!$D$2:$D$35,MATCH(H$1,'Conversion Range'!$A$2:$A$35,0))-INDEX('Conversion Range'!$C$2:$C$35,MATCH(H$1,'Conversion Range'!$A$2:$A$35,0))),INDEX('Conversion Range'!$C$2:$C$35,MATCH(H$1,'Conversion Range'!$A$2:$A$35,0))+(('Legend Attributes'!H33-1)/19)*(INDEX('Conversion Range'!$D$2:$D$35,MATCH(H$1,'Conversion Range'!$A$2:$A$35,0))-INDEX('Conversion Range'!$C$2:$C$35,MATCH(H$1,'Conversion Range'!$A$2:$A$35,0)))),3))</f>
        <v>5.2999999999999999E-2</v>
      </c>
      <c r="I33">
        <f>IF('Legend Attributes'!I33=0,0,ROUND(IF(INDEX('Conversion Range'!$E$2:$E$35,MATCH(I$1,'Conversion Range'!$A$2:$A$35,0))=1,INDEX('Conversion Range'!$D$2:$D$35,MATCH(I$1,'Conversion Range'!$A$2:$A$35,0))-(('Legend Attributes'!I33-1)/19)*(INDEX('Conversion Range'!$D$2:$D$35,MATCH(I$1,'Conversion Range'!$A$2:$A$35,0))-INDEX('Conversion Range'!$C$2:$C$35,MATCH(I$1,'Conversion Range'!$A$2:$A$35,0))),INDEX('Conversion Range'!$C$2:$C$35,MATCH(I$1,'Conversion Range'!$A$2:$A$35,0))+(('Legend Attributes'!I33-1)/19)*(INDEX('Conversion Range'!$D$2:$D$35,MATCH(I$1,'Conversion Range'!$A$2:$A$35,0))-INDEX('Conversion Range'!$C$2:$C$35,MATCH(I$1,'Conversion Range'!$A$2:$A$35,0)))),3))</f>
        <v>0.23200000000000001</v>
      </c>
      <c r="J33">
        <f>IF('Legend Attributes'!J33=0,0,ROUND(IF(INDEX('Conversion Range'!$E$2:$E$35,MATCH(J$1,'Conversion Range'!$A$2:$A$35,0))=1,INDEX('Conversion Range'!$D$2:$D$35,MATCH(J$1,'Conversion Range'!$A$2:$A$35,0))-(('Legend Attributes'!J33-1)/19)*(INDEX('Conversion Range'!$D$2:$D$35,MATCH(J$1,'Conversion Range'!$A$2:$A$35,0))-INDEX('Conversion Range'!$C$2:$C$35,MATCH(J$1,'Conversion Range'!$A$2:$A$35,0))),INDEX('Conversion Range'!$C$2:$C$35,MATCH(J$1,'Conversion Range'!$A$2:$A$35,0))+(('Legend Attributes'!J33-1)/19)*(INDEX('Conversion Range'!$D$2:$D$35,MATCH(J$1,'Conversion Range'!$A$2:$A$35,0))-INDEX('Conversion Range'!$C$2:$C$35,MATCH(J$1,'Conversion Range'!$A$2:$A$35,0)))),3))</f>
        <v>2.1579999999999999</v>
      </c>
      <c r="K33">
        <f>IF('Legend Attributes'!K33=0,0,ROUND(IF(INDEX('Conversion Range'!$E$2:$E$35,MATCH(K$1,'Conversion Range'!$A$2:$A$35,0))=1,INDEX('Conversion Range'!$D$2:$D$35,MATCH(K$1,'Conversion Range'!$A$2:$A$35,0))-(('Legend Attributes'!K33-1)/19)*(INDEX('Conversion Range'!$D$2:$D$35,MATCH(K$1,'Conversion Range'!$A$2:$A$35,0))-INDEX('Conversion Range'!$C$2:$C$35,MATCH(K$1,'Conversion Range'!$A$2:$A$35,0))),INDEX('Conversion Range'!$C$2:$C$35,MATCH(K$1,'Conversion Range'!$A$2:$A$35,0))+(('Legend Attributes'!K33-1)/19)*(INDEX('Conversion Range'!$D$2:$D$35,MATCH(K$1,'Conversion Range'!$A$2:$A$35,0))-INDEX('Conversion Range'!$C$2:$C$35,MATCH(K$1,'Conversion Range'!$A$2:$A$35,0)))),3))</f>
        <v>1.4890000000000001</v>
      </c>
      <c r="L33">
        <f>IF('Legend Attributes'!L33=0,0,ROUND(IF(INDEX('Conversion Range'!$E$2:$E$35,MATCH(L$1,'Conversion Range'!$A$2:$A$35,0))=1,INDEX('Conversion Range'!$D$2:$D$35,MATCH(L$1,'Conversion Range'!$A$2:$A$35,0))-(('Legend Attributes'!L33-1)/19)*(INDEX('Conversion Range'!$D$2:$D$35,MATCH(L$1,'Conversion Range'!$A$2:$A$35,0))-INDEX('Conversion Range'!$C$2:$C$35,MATCH(L$1,'Conversion Range'!$A$2:$A$35,0))),INDEX('Conversion Range'!$C$2:$C$35,MATCH(L$1,'Conversion Range'!$A$2:$A$35,0))+(('Legend Attributes'!L33-1)/19)*(INDEX('Conversion Range'!$D$2:$D$35,MATCH(L$1,'Conversion Range'!$A$2:$A$35,0))-INDEX('Conversion Range'!$C$2:$C$35,MATCH(L$1,'Conversion Range'!$A$2:$A$35,0)))),3))</f>
        <v>4.8949999999999996</v>
      </c>
      <c r="M33">
        <f>IF('Legend Attributes'!M33=0,0,ROUND(IF(INDEX('Conversion Range'!$E$2:$E$35,MATCH(M$1,'Conversion Range'!$A$2:$A$35,0))=1,INDEX('Conversion Range'!$D$2:$D$35,MATCH(M$1,'Conversion Range'!$A$2:$A$35,0))-(('Legend Attributes'!M33-1)/19)*(INDEX('Conversion Range'!$D$2:$D$35,MATCH(M$1,'Conversion Range'!$A$2:$A$35,0))-INDEX('Conversion Range'!$C$2:$C$35,MATCH(M$1,'Conversion Range'!$A$2:$A$35,0))),INDEX('Conversion Range'!$C$2:$C$35,MATCH(M$1,'Conversion Range'!$A$2:$A$35,0))+(('Legend Attributes'!M33-1)/19)*(INDEX('Conversion Range'!$D$2:$D$35,MATCH(M$1,'Conversion Range'!$A$2:$A$35,0))-INDEX('Conversion Range'!$C$2:$C$35,MATCH(M$1,'Conversion Range'!$A$2:$A$35,0)))),3))</f>
        <v>0.84199999999999997</v>
      </c>
      <c r="N33">
        <f>IF('Legend Attributes'!N33=0,0,ROUND(IF(INDEX('Conversion Range'!$E$2:$E$35,MATCH(N$1,'Conversion Range'!$A$2:$A$35,0))=1,INDEX('Conversion Range'!$D$2:$D$35,MATCH(N$1,'Conversion Range'!$A$2:$A$35,0))-(('Legend Attributes'!N33-1)/19)*(INDEX('Conversion Range'!$D$2:$D$35,MATCH(N$1,'Conversion Range'!$A$2:$A$35,0))-INDEX('Conversion Range'!$C$2:$C$35,MATCH(N$1,'Conversion Range'!$A$2:$A$35,0))),INDEX('Conversion Range'!$C$2:$C$35,MATCH(N$1,'Conversion Range'!$A$2:$A$35,0))+(('Legend Attributes'!N33-1)/19)*(INDEX('Conversion Range'!$D$2:$D$35,MATCH(N$1,'Conversion Range'!$A$2:$A$35,0))-INDEX('Conversion Range'!$C$2:$C$35,MATCH(N$1,'Conversion Range'!$A$2:$A$35,0)))),3))</f>
        <v>5.9470000000000001</v>
      </c>
      <c r="O33">
        <f>IF('Legend Attributes'!O33=0,0,ROUND(IF(INDEX('Conversion Range'!$E$2:$E$35,MATCH(O$1,'Conversion Range'!$A$2:$A$35,0))=1,INDEX('Conversion Range'!$D$2:$D$35,MATCH(O$1,'Conversion Range'!$A$2:$A$35,0))-(('Legend Attributes'!O33-1)/19)*(INDEX('Conversion Range'!$D$2:$D$35,MATCH(O$1,'Conversion Range'!$A$2:$A$35,0))-INDEX('Conversion Range'!$C$2:$C$35,MATCH(O$1,'Conversion Range'!$A$2:$A$35,0))),INDEX('Conversion Range'!$C$2:$C$35,MATCH(O$1,'Conversion Range'!$A$2:$A$35,0))+(('Legend Attributes'!O33-1)/19)*(INDEX('Conversion Range'!$D$2:$D$35,MATCH(O$1,'Conversion Range'!$A$2:$A$35,0))-INDEX('Conversion Range'!$C$2:$C$35,MATCH(O$1,'Conversion Range'!$A$2:$A$35,0)))),3))</f>
        <v>0.26300000000000001</v>
      </c>
      <c r="P33">
        <f>IF('Legend Attributes'!P33=0,0,ROUND(IF(INDEX('Conversion Range'!$E$2:$E$35,MATCH(P$1,'Conversion Range'!$A$2:$A$35,0))=1,INDEX('Conversion Range'!$D$2:$D$35,MATCH(P$1,'Conversion Range'!$A$2:$A$35,0))-(('Legend Attributes'!P33-1)/19)*(INDEX('Conversion Range'!$D$2:$D$35,MATCH(P$1,'Conversion Range'!$A$2:$A$35,0))-INDEX('Conversion Range'!$C$2:$C$35,MATCH(P$1,'Conversion Range'!$A$2:$A$35,0))),INDEX('Conversion Range'!$C$2:$C$35,MATCH(P$1,'Conversion Range'!$A$2:$A$35,0))+(('Legend Attributes'!P33-1)/19)*(INDEX('Conversion Range'!$D$2:$D$35,MATCH(P$1,'Conversion Range'!$A$2:$A$35,0))-INDEX('Conversion Range'!$C$2:$C$35,MATCH(P$1,'Conversion Range'!$A$2:$A$35,0)))),3))</f>
        <v>44.473999999999997</v>
      </c>
      <c r="Q33">
        <f>IF('Legend Attributes'!Q33=0,0,ROUND(IF(INDEX('Conversion Range'!$E$2:$E$35,MATCH(Q$1,'Conversion Range'!$A$2:$A$35,0))=1,INDEX('Conversion Range'!$D$2:$D$35,MATCH(Q$1,'Conversion Range'!$A$2:$A$35,0))-(('Legend Attributes'!Q33-1)/19)*(INDEX('Conversion Range'!$D$2:$D$35,MATCH(Q$1,'Conversion Range'!$A$2:$A$35,0))-INDEX('Conversion Range'!$C$2:$C$35,MATCH(Q$1,'Conversion Range'!$A$2:$A$35,0))),INDEX('Conversion Range'!$C$2:$C$35,MATCH(Q$1,'Conversion Range'!$A$2:$A$35,0))+(('Legend Attributes'!Q33-1)/19)*(INDEX('Conversion Range'!$D$2:$D$35,MATCH(Q$1,'Conversion Range'!$A$2:$A$35,0))-INDEX('Conversion Range'!$C$2:$C$35,MATCH(Q$1,'Conversion Range'!$A$2:$A$35,0)))),3))</f>
        <v>62.789000000000001</v>
      </c>
      <c r="R33">
        <f>IF('Legend Attributes'!R33=0,0,ROUND(IF(INDEX('Conversion Range'!$E$2:$E$35,MATCH(R$1,'Conversion Range'!$A$2:$A$35,0))=1,INDEX('Conversion Range'!$D$2:$D$35,MATCH(R$1,'Conversion Range'!$A$2:$A$35,0))-(('Legend Attributes'!R33-1)/19)*(INDEX('Conversion Range'!$D$2:$D$35,MATCH(R$1,'Conversion Range'!$A$2:$A$35,0))-INDEX('Conversion Range'!$C$2:$C$35,MATCH(R$1,'Conversion Range'!$A$2:$A$35,0))),INDEX('Conversion Range'!$C$2:$C$35,MATCH(R$1,'Conversion Range'!$A$2:$A$35,0))+(('Legend Attributes'!R33-1)/19)*(INDEX('Conversion Range'!$D$2:$D$35,MATCH(R$1,'Conversion Range'!$A$2:$A$35,0))-INDEX('Conversion Range'!$C$2:$C$35,MATCH(R$1,'Conversion Range'!$A$2:$A$35,0)))),3))</f>
        <v>71.841999999999999</v>
      </c>
      <c r="S33">
        <f>IF('Legend Attributes'!S33=0,0,ROUND(IF(INDEX('Conversion Range'!$E$2:$E$35,MATCH(S$1,'Conversion Range'!$A$2:$A$35,0))=1,INDEX('Conversion Range'!$D$2:$D$35,MATCH(S$1,'Conversion Range'!$A$2:$A$35,0))-(('Legend Attributes'!S33-1)/19)*(INDEX('Conversion Range'!$D$2:$D$35,MATCH(S$1,'Conversion Range'!$A$2:$A$35,0))-INDEX('Conversion Range'!$C$2:$C$35,MATCH(S$1,'Conversion Range'!$A$2:$A$35,0))),INDEX('Conversion Range'!$C$2:$C$35,MATCH(S$1,'Conversion Range'!$A$2:$A$35,0))+(('Legend Attributes'!S33-1)/19)*(INDEX('Conversion Range'!$D$2:$D$35,MATCH(S$1,'Conversion Range'!$A$2:$A$35,0))-INDEX('Conversion Range'!$C$2:$C$35,MATCH(S$1,'Conversion Range'!$A$2:$A$35,0)))),3))</f>
        <v>2.8889999999999998</v>
      </c>
      <c r="T33">
        <f>IF('Legend Attributes'!T33=0,0,ROUND(IF(INDEX('Conversion Range'!$E$2:$E$35,MATCH(T$1,'Conversion Range'!$A$2:$A$35,0))=1,INDEX('Conversion Range'!$D$2:$D$35,MATCH(T$1,'Conversion Range'!$A$2:$A$35,0))-(('Legend Attributes'!T33-1)/19)*(INDEX('Conversion Range'!$D$2:$D$35,MATCH(T$1,'Conversion Range'!$A$2:$A$35,0))-INDEX('Conversion Range'!$C$2:$C$35,MATCH(T$1,'Conversion Range'!$A$2:$A$35,0))),INDEX('Conversion Range'!$C$2:$C$35,MATCH(T$1,'Conversion Range'!$A$2:$A$35,0))+(('Legend Attributes'!T33-1)/19)*(INDEX('Conversion Range'!$D$2:$D$35,MATCH(T$1,'Conversion Range'!$A$2:$A$35,0))-INDEX('Conversion Range'!$C$2:$C$35,MATCH(T$1,'Conversion Range'!$A$2:$A$35,0)))),3))</f>
        <v>38.579000000000001</v>
      </c>
      <c r="U33">
        <f>IF('Legend Attributes'!U33=0,0,ROUND(IF(INDEX('Conversion Range'!$E$2:$E$35,MATCH(U$1,'Conversion Range'!$A$2:$A$35,0))=1,INDEX('Conversion Range'!$D$2:$D$35,MATCH(U$1,'Conversion Range'!$A$2:$A$35,0))-(('Legend Attributes'!U33-1)/19)*(INDEX('Conversion Range'!$D$2:$D$35,MATCH(U$1,'Conversion Range'!$A$2:$A$35,0))-INDEX('Conversion Range'!$C$2:$C$35,MATCH(U$1,'Conversion Range'!$A$2:$A$35,0))),INDEX('Conversion Range'!$C$2:$C$35,MATCH(U$1,'Conversion Range'!$A$2:$A$35,0))+(('Legend Attributes'!U33-1)/19)*(INDEX('Conversion Range'!$D$2:$D$35,MATCH(U$1,'Conversion Range'!$A$2:$A$35,0))-INDEX('Conversion Range'!$C$2:$C$35,MATCH(U$1,'Conversion Range'!$A$2:$A$35,0)))),3))</f>
        <v>4.6790000000000003</v>
      </c>
      <c r="V33">
        <f>IF('Legend Attributes'!V33=0,0,ROUND(IF(INDEX('Conversion Range'!$E$2:$E$35,MATCH(V$1,'Conversion Range'!$A$2:$A$35,0))=1,INDEX('Conversion Range'!$D$2:$D$35,MATCH(V$1,'Conversion Range'!$A$2:$A$35,0))-(('Legend Attributes'!V33-1)/19)*(INDEX('Conversion Range'!$D$2:$D$35,MATCH(V$1,'Conversion Range'!$A$2:$A$35,0))-INDEX('Conversion Range'!$C$2:$C$35,MATCH(V$1,'Conversion Range'!$A$2:$A$35,0))),INDEX('Conversion Range'!$C$2:$C$35,MATCH(V$1,'Conversion Range'!$A$2:$A$35,0))+(('Legend Attributes'!V33-1)/19)*(INDEX('Conversion Range'!$D$2:$D$35,MATCH(V$1,'Conversion Range'!$A$2:$A$35,0))-INDEX('Conversion Range'!$C$2:$C$35,MATCH(V$1,'Conversion Range'!$A$2:$A$35,0)))),3))</f>
        <v>67.894999999999996</v>
      </c>
      <c r="W33">
        <f>IF('Legend Attributes'!W33=0,0,ROUND(IF(INDEX('Conversion Range'!$E$2:$E$35,MATCH(W$1,'Conversion Range'!$A$2:$A$35,0))=1,INDEX('Conversion Range'!$D$2:$D$35,MATCH(W$1,'Conversion Range'!$A$2:$A$35,0))-(('Legend Attributes'!W33-1)/19)*(INDEX('Conversion Range'!$D$2:$D$35,MATCH(W$1,'Conversion Range'!$A$2:$A$35,0))-INDEX('Conversion Range'!$C$2:$C$35,MATCH(W$1,'Conversion Range'!$A$2:$A$35,0))),INDEX('Conversion Range'!$C$2:$C$35,MATCH(W$1,'Conversion Range'!$A$2:$A$35,0))+(('Legend Attributes'!W33-1)/19)*(INDEX('Conversion Range'!$D$2:$D$35,MATCH(W$1,'Conversion Range'!$A$2:$A$35,0))-INDEX('Conversion Range'!$C$2:$C$35,MATCH(W$1,'Conversion Range'!$A$2:$A$35,0)))),3))</f>
        <v>2.5999999999999999E-2</v>
      </c>
      <c r="X33">
        <f>IF('Legend Attributes'!X33=0,0,ROUND(IF(INDEX('Conversion Range'!$E$2:$E$35,MATCH(X$1,'Conversion Range'!$A$2:$A$35,0))=1,INDEX('Conversion Range'!$D$2:$D$35,MATCH(X$1,'Conversion Range'!$A$2:$A$35,0))-(('Legend Attributes'!X33-1)/19)*(INDEX('Conversion Range'!$D$2:$D$35,MATCH(X$1,'Conversion Range'!$A$2:$A$35,0))-INDEX('Conversion Range'!$C$2:$C$35,MATCH(X$1,'Conversion Range'!$A$2:$A$35,0))),INDEX('Conversion Range'!$C$2:$C$35,MATCH(X$1,'Conversion Range'!$A$2:$A$35,0))+(('Legend Attributes'!X33-1)/19)*(INDEX('Conversion Range'!$D$2:$D$35,MATCH(X$1,'Conversion Range'!$A$2:$A$35,0))-INDEX('Conversion Range'!$C$2:$C$35,MATCH(X$1,'Conversion Range'!$A$2:$A$35,0)))),3))</f>
        <v>5.8000000000000003E-2</v>
      </c>
      <c r="Y33">
        <f>IF('Legend Attributes'!Y33=0,0,ROUND(IF(INDEX('Conversion Range'!$E$2:$E$35,MATCH(Y$1,'Conversion Range'!$A$2:$A$35,0))=1,INDEX('Conversion Range'!$D$2:$D$35,MATCH(Y$1,'Conversion Range'!$A$2:$A$35,0))-(('Legend Attributes'!Y33-1)/19)*(INDEX('Conversion Range'!$D$2:$D$35,MATCH(Y$1,'Conversion Range'!$A$2:$A$35,0))-INDEX('Conversion Range'!$C$2:$C$35,MATCH(Y$1,'Conversion Range'!$A$2:$A$35,0))),INDEX('Conversion Range'!$C$2:$C$35,MATCH(Y$1,'Conversion Range'!$A$2:$A$35,0))+(('Legend Attributes'!Y33-1)/19)*(INDEX('Conversion Range'!$D$2:$D$35,MATCH(Y$1,'Conversion Range'!$A$2:$A$35,0))-INDEX('Conversion Range'!$C$2:$C$35,MATCH(Y$1,'Conversion Range'!$A$2:$A$35,0)))),3))</f>
        <v>0.47399999999999998</v>
      </c>
      <c r="Z33">
        <f>IF('Legend Attributes'!Z33=0,0,ROUND(IF(INDEX('Conversion Range'!$E$2:$E$35,MATCH(Z$1,'Conversion Range'!$A$2:$A$35,0))=1,INDEX('Conversion Range'!$D$2:$D$35,MATCH(Z$1,'Conversion Range'!$A$2:$A$35,0))-(('Legend Attributes'!Z33-1)/19)*(INDEX('Conversion Range'!$D$2:$D$35,MATCH(Z$1,'Conversion Range'!$A$2:$A$35,0))-INDEX('Conversion Range'!$C$2:$C$35,MATCH(Z$1,'Conversion Range'!$A$2:$A$35,0))),INDEX('Conversion Range'!$C$2:$C$35,MATCH(Z$1,'Conversion Range'!$A$2:$A$35,0))+(('Legend Attributes'!Z33-1)/19)*(INDEX('Conversion Range'!$D$2:$D$35,MATCH(Z$1,'Conversion Range'!$A$2:$A$35,0))-INDEX('Conversion Range'!$C$2:$C$35,MATCH(Z$1,'Conversion Range'!$A$2:$A$35,0)))),3))</f>
        <v>10.079000000000001</v>
      </c>
      <c r="AA33">
        <f>IF('Legend Attributes'!AA33=0,0,ROUND(IF(INDEX('Conversion Range'!$E$2:$E$35,MATCH(AA$1,'Conversion Range'!$A$2:$A$35,0))=1,INDEX('Conversion Range'!$D$2:$D$35,MATCH(AA$1,'Conversion Range'!$A$2:$A$35,0))-(('Legend Attributes'!AA33-1)/19)*(INDEX('Conversion Range'!$D$2:$D$35,MATCH(AA$1,'Conversion Range'!$A$2:$A$35,0))-INDEX('Conversion Range'!$C$2:$C$35,MATCH(AA$1,'Conversion Range'!$A$2:$A$35,0))),INDEX('Conversion Range'!$C$2:$C$35,MATCH(AA$1,'Conversion Range'!$A$2:$A$35,0))+(('Legend Attributes'!AA33-1)/19)*(INDEX('Conversion Range'!$D$2:$D$35,MATCH(AA$1,'Conversion Range'!$A$2:$A$35,0))-INDEX('Conversion Range'!$C$2:$C$35,MATCH(AA$1,'Conversion Range'!$A$2:$A$35,0)))),3))</f>
        <v>0</v>
      </c>
      <c r="AB33">
        <f>IF('Legend Attributes'!AB33=0,0,ROUND(IF(INDEX('Conversion Range'!$E$2:$E$35,MATCH(AB$1,'Conversion Range'!$A$2:$A$35,0))=1,INDEX('Conversion Range'!$D$2:$D$35,MATCH(AB$1,'Conversion Range'!$A$2:$A$35,0))-(('Legend Attributes'!AB33-1)/19)*(INDEX('Conversion Range'!$D$2:$D$35,MATCH(AB$1,'Conversion Range'!$A$2:$A$35,0))-INDEX('Conversion Range'!$C$2:$C$35,MATCH(AB$1,'Conversion Range'!$A$2:$A$35,0))),INDEX('Conversion Range'!$C$2:$C$35,MATCH(AB$1,'Conversion Range'!$A$2:$A$35,0))+(('Legend Attributes'!AB33-1)/19)*(INDEX('Conversion Range'!$D$2:$D$35,MATCH(AB$1,'Conversion Range'!$A$2:$A$35,0))-INDEX('Conversion Range'!$C$2:$C$35,MATCH(AB$1,'Conversion Range'!$A$2:$A$35,0)))),3))</f>
        <v>0.192</v>
      </c>
      <c r="AC33">
        <f>IF('Legend Attributes'!AC33=0,0,ROUND(IF(INDEX('Conversion Range'!$E$2:$E$35,MATCH(AC$1,'Conversion Range'!$A$2:$A$35,0))=1,INDEX('Conversion Range'!$D$2:$D$35,MATCH(AC$1,'Conversion Range'!$A$2:$A$35,0))-(('Legend Attributes'!AC33-1)/19)*(INDEX('Conversion Range'!$D$2:$D$35,MATCH(AC$1,'Conversion Range'!$A$2:$A$35,0))-INDEX('Conversion Range'!$C$2:$C$35,MATCH(AC$1,'Conversion Range'!$A$2:$A$35,0))),INDEX('Conversion Range'!$C$2:$C$35,MATCH(AC$1,'Conversion Range'!$A$2:$A$35,0))+(('Legend Attributes'!AC33-1)/19)*(INDEX('Conversion Range'!$D$2:$D$35,MATCH(AC$1,'Conversion Range'!$A$2:$A$35,0))-INDEX('Conversion Range'!$C$2:$C$35,MATCH(AC$1,'Conversion Range'!$A$2:$A$35,0)))),3))</f>
        <v>0.112</v>
      </c>
      <c r="AD33">
        <f>IF('Legend Attributes'!AD33=0,0,ROUND(IF(INDEX('Conversion Range'!$E$2:$E$35,MATCH(AD$1,'Conversion Range'!$A$2:$A$35,0))=1,INDEX('Conversion Range'!$D$2:$D$35,MATCH(AD$1,'Conversion Range'!$A$2:$A$35,0))-(('Legend Attributes'!AD33-1)/19)*(INDEX('Conversion Range'!$D$2:$D$35,MATCH(AD$1,'Conversion Range'!$A$2:$A$35,0))-INDEX('Conversion Range'!$C$2:$C$35,MATCH(AD$1,'Conversion Range'!$A$2:$A$35,0))),INDEX('Conversion Range'!$C$2:$C$35,MATCH(AD$1,'Conversion Range'!$A$2:$A$35,0))+(('Legend Attributes'!AD33-1)/19)*(INDEX('Conversion Range'!$D$2:$D$35,MATCH(AD$1,'Conversion Range'!$A$2:$A$35,0))-INDEX('Conversion Range'!$C$2:$C$35,MATCH(AD$1,'Conversion Range'!$A$2:$A$35,0)))),3))</f>
        <v>0</v>
      </c>
      <c r="AE33">
        <f>IF('Legend Attributes'!AE33=0,0,ROUND(IF(INDEX('Conversion Range'!$E$2:$E$35,MATCH(AE$1,'Conversion Range'!$A$2:$A$35,0))=1,INDEX('Conversion Range'!$D$2:$D$35,MATCH(AE$1,'Conversion Range'!$A$2:$A$35,0))-(('Legend Attributes'!AE33-1)/19)*(INDEX('Conversion Range'!$D$2:$D$35,MATCH(AE$1,'Conversion Range'!$A$2:$A$35,0))-INDEX('Conversion Range'!$C$2:$C$35,MATCH(AE$1,'Conversion Range'!$A$2:$A$35,0))),INDEX('Conversion Range'!$C$2:$C$35,MATCH(AE$1,'Conversion Range'!$A$2:$A$35,0))+(('Legend Attributes'!AE33-1)/19)*(INDEX('Conversion Range'!$D$2:$D$35,MATCH(AE$1,'Conversion Range'!$A$2:$A$35,0))-INDEX('Conversion Range'!$C$2:$C$35,MATCH(AE$1,'Conversion Range'!$A$2:$A$35,0)))),3))</f>
        <v>0</v>
      </c>
      <c r="AF33">
        <f>IF('Legend Attributes'!AF33=0,0,ROUND(IF(INDEX('Conversion Range'!$E$2:$E$35,MATCH(AF$1,'Conversion Range'!$A$2:$A$35,0))=1,INDEX('Conversion Range'!$D$2:$D$35,MATCH(AF$1,'Conversion Range'!$A$2:$A$35,0))-(('Legend Attributes'!AF33-1)/19)*(INDEX('Conversion Range'!$D$2:$D$35,MATCH(AF$1,'Conversion Range'!$A$2:$A$35,0))-INDEX('Conversion Range'!$C$2:$C$35,MATCH(AF$1,'Conversion Range'!$A$2:$A$35,0))),INDEX('Conversion Range'!$C$2:$C$35,MATCH(AF$1,'Conversion Range'!$A$2:$A$35,0))+(('Legend Attributes'!AF33-1)/19)*(INDEX('Conversion Range'!$D$2:$D$35,MATCH(AF$1,'Conversion Range'!$A$2:$A$35,0))-INDEX('Conversion Range'!$C$2:$C$35,MATCH(AF$1,'Conversion Range'!$A$2:$A$35,0)))),3))</f>
        <v>0</v>
      </c>
      <c r="AG33">
        <f>IF('Legend Attributes'!AG33=0,0,ROUND(IF(INDEX('Conversion Range'!$E$2:$E$35,MATCH(AG$1,'Conversion Range'!$A$2:$A$35,0))=1,INDEX('Conversion Range'!$D$2:$D$35,MATCH(AG$1,'Conversion Range'!$A$2:$A$35,0))-(('Legend Attributes'!AG33-1)/19)*(INDEX('Conversion Range'!$D$2:$D$35,MATCH(AG$1,'Conversion Range'!$A$2:$A$35,0))-INDEX('Conversion Range'!$C$2:$C$35,MATCH(AG$1,'Conversion Range'!$A$2:$A$35,0))),INDEX('Conversion Range'!$C$2:$C$35,MATCH(AG$1,'Conversion Range'!$A$2:$A$35,0))+(('Legend Attributes'!AG33-1)/19)*(INDEX('Conversion Range'!$D$2:$D$35,MATCH(AG$1,'Conversion Range'!$A$2:$A$35,0))-INDEX('Conversion Range'!$C$2:$C$35,MATCH(AG$1,'Conversion Range'!$A$2:$A$35,0)))),3))</f>
        <v>1.0529999999999999</v>
      </c>
      <c r="AH33">
        <f>IF('Legend Attributes'!AH33=0,0,ROUND(IF(INDEX('Conversion Range'!$E$2:$E$35,MATCH(AH$1,'Conversion Range'!$A$2:$A$35,0))=1,INDEX('Conversion Range'!$D$2:$D$35,MATCH(AH$1,'Conversion Range'!$A$2:$A$35,0))-(('Legend Attributes'!AH33-1)/19)*(INDEX('Conversion Range'!$D$2:$D$35,MATCH(AH$1,'Conversion Range'!$A$2:$A$35,0))-INDEX('Conversion Range'!$C$2:$C$35,MATCH(AH$1,'Conversion Range'!$A$2:$A$35,0))),INDEX('Conversion Range'!$C$2:$C$35,MATCH(AH$1,'Conversion Range'!$A$2:$A$35,0))+(('Legend Attributes'!AH33-1)/19)*(INDEX('Conversion Range'!$D$2:$D$35,MATCH(AH$1,'Conversion Range'!$A$2:$A$35,0))-INDEX('Conversion Range'!$C$2:$C$35,MATCH(AH$1,'Conversion Range'!$A$2:$A$35,0)))),3))</f>
        <v>0.29199999999999998</v>
      </c>
      <c r="AI33">
        <f>IF('Legend Attributes'!AI33=0,0,ROUND(IF(INDEX('Conversion Range'!$E$2:$E$35,MATCH(AI$1,'Conversion Range'!$A$2:$A$35,0))=1,INDEX('Conversion Range'!$D$2:$D$35,MATCH(AI$1,'Conversion Range'!$A$2:$A$35,0))-(('Legend Attributes'!AI33-1)/19)*(INDEX('Conversion Range'!$D$2:$D$35,MATCH(AI$1,'Conversion Range'!$A$2:$A$35,0))-INDEX('Conversion Range'!$C$2:$C$35,MATCH(AI$1,'Conversion Range'!$A$2:$A$35,0))),INDEX('Conversion Range'!$C$2:$C$35,MATCH(AI$1,'Conversion Range'!$A$2:$A$35,0))+(('Legend Attributes'!AI33-1)/19)*(INDEX('Conversion Range'!$D$2:$D$35,MATCH(AI$1,'Conversion Range'!$A$2:$A$35,0))-INDEX('Conversion Range'!$C$2:$C$35,MATCH(AI$1,'Conversion Range'!$A$2:$A$35,0)))),3))</f>
        <v>7.5999999999999998E-2</v>
      </c>
      <c r="AJ33">
        <f>IF('Legend Attributes'!AJ33=0,0,ROUND(IF(INDEX('Conversion Range'!$E$2:$E$35,MATCH(AJ$1,'Conversion Range'!$A$2:$A$35,0))=1,INDEX('Conversion Range'!$D$2:$D$35,MATCH(AJ$1,'Conversion Range'!$A$2:$A$35,0))-(('Legend Attributes'!AJ33-1)/19)*(INDEX('Conversion Range'!$D$2:$D$35,MATCH(AJ$1,'Conversion Range'!$A$2:$A$35,0))-INDEX('Conversion Range'!$C$2:$C$35,MATCH(AJ$1,'Conversion Range'!$A$2:$A$35,0))),INDEX('Conversion Range'!$C$2:$C$35,MATCH(AJ$1,'Conversion Range'!$A$2:$A$35,0))+(('Legend Attributes'!AJ33-1)/19)*(INDEX('Conversion Range'!$D$2:$D$35,MATCH(AJ$1,'Conversion Range'!$A$2:$A$35,0))-INDEX('Conversion Range'!$C$2:$C$35,MATCH(AJ$1,'Conversion Range'!$A$2:$A$35,0)))),3))</f>
        <v>7.726</v>
      </c>
    </row>
    <row r="34" spans="1:36" x14ac:dyDescent="0.35">
      <c r="A34" t="str">
        <f>'Legend Attributes'!A34</f>
        <v>Patrice Evra</v>
      </c>
      <c r="B34" t="str">
        <f>'Legend Attributes'!B34</f>
        <v>FB</v>
      </c>
      <c r="C34">
        <f>IF('Legend Attributes'!C34=0,0,ROUND(IF(INDEX('Conversion Range'!$E$2:$E$35,MATCH(C$1,'Conversion Range'!$A$2:$A$35,0))=1,INDEX('Conversion Range'!$D$2:$D$35,MATCH(C$1,'Conversion Range'!$A$2:$A$35,0))-(('Legend Attributes'!C34-1)/19)*(INDEX('Conversion Range'!$D$2:$D$35,MATCH(C$1,'Conversion Range'!$A$2:$A$35,0))-INDEX('Conversion Range'!$C$2:$C$35,MATCH(C$1,'Conversion Range'!$A$2:$A$35,0))),INDEX('Conversion Range'!$C$2:$C$35,MATCH(C$1,'Conversion Range'!$A$2:$A$35,0))+(('Legend Attributes'!C34-1)/19)*(INDEX('Conversion Range'!$D$2:$D$35,MATCH(C$1,'Conversion Range'!$A$2:$A$35,0))-INDEX('Conversion Range'!$C$2:$C$35,MATCH(C$1,'Conversion Range'!$A$2:$A$35,0)))),3))</f>
        <v>0.19500000000000001</v>
      </c>
      <c r="D34">
        <f>IF('Legend Attributes'!D34=0,0,ROUND(IF(INDEX('Conversion Range'!$E$2:$E$35,MATCH(D$1,'Conversion Range'!$A$2:$A$35,0))=1,INDEX('Conversion Range'!$D$2:$D$35,MATCH(D$1,'Conversion Range'!$A$2:$A$35,0))-(('Legend Attributes'!D34-1)/19)*(INDEX('Conversion Range'!$D$2:$D$35,MATCH(D$1,'Conversion Range'!$A$2:$A$35,0))-INDEX('Conversion Range'!$C$2:$C$35,MATCH(D$1,'Conversion Range'!$A$2:$A$35,0))),INDEX('Conversion Range'!$C$2:$C$35,MATCH(D$1,'Conversion Range'!$A$2:$A$35,0))+(('Legend Attributes'!D34-1)/19)*(INDEX('Conversion Range'!$D$2:$D$35,MATCH(D$1,'Conversion Range'!$A$2:$A$35,0))-INDEX('Conversion Range'!$C$2:$C$35,MATCH(D$1,'Conversion Range'!$A$2:$A$35,0)))),3))</f>
        <v>0.17399999999999999</v>
      </c>
      <c r="E34">
        <f>IF('Legend Attributes'!E34=0,0,ROUND(IF(INDEX('Conversion Range'!$E$2:$E$35,MATCH(E$1,'Conversion Range'!$A$2:$A$35,0))=1,INDEX('Conversion Range'!$D$2:$D$35,MATCH(E$1,'Conversion Range'!$A$2:$A$35,0))-(('Legend Attributes'!E34-1)/19)*(INDEX('Conversion Range'!$D$2:$D$35,MATCH(E$1,'Conversion Range'!$A$2:$A$35,0))-INDEX('Conversion Range'!$C$2:$C$35,MATCH(E$1,'Conversion Range'!$A$2:$A$35,0))),INDEX('Conversion Range'!$C$2:$C$35,MATCH(E$1,'Conversion Range'!$A$2:$A$35,0))+(('Legend Attributes'!E34-1)/19)*(INDEX('Conversion Range'!$D$2:$D$35,MATCH(E$1,'Conversion Range'!$A$2:$A$35,0))-INDEX('Conversion Range'!$C$2:$C$35,MATCH(E$1,'Conversion Range'!$A$2:$A$35,0)))),3))</f>
        <v>9.5000000000000001E-2</v>
      </c>
      <c r="F34">
        <f>IF('Legend Attributes'!F34=0,0,ROUND(IF(INDEX('Conversion Range'!$E$2:$E$35,MATCH(F$1,'Conversion Range'!$A$2:$A$35,0))=1,INDEX('Conversion Range'!$D$2:$D$35,MATCH(F$1,'Conversion Range'!$A$2:$A$35,0))-(('Legend Attributes'!F34-1)/19)*(INDEX('Conversion Range'!$D$2:$D$35,MATCH(F$1,'Conversion Range'!$A$2:$A$35,0))-INDEX('Conversion Range'!$C$2:$C$35,MATCH(F$1,'Conversion Range'!$A$2:$A$35,0))),INDEX('Conversion Range'!$C$2:$C$35,MATCH(F$1,'Conversion Range'!$A$2:$A$35,0))+(('Legend Attributes'!F34-1)/19)*(INDEX('Conversion Range'!$D$2:$D$35,MATCH(F$1,'Conversion Range'!$A$2:$A$35,0))-INDEX('Conversion Range'!$C$2:$C$35,MATCH(F$1,'Conversion Range'!$A$2:$A$35,0)))),3))</f>
        <v>0.96099999999999997</v>
      </c>
      <c r="G34">
        <f>IF('Legend Attributes'!G34=0,0,ROUND(IF(INDEX('Conversion Range'!$E$2:$E$35,MATCH(G$1,'Conversion Range'!$A$2:$A$35,0))=1,INDEX('Conversion Range'!$D$2:$D$35,MATCH(G$1,'Conversion Range'!$A$2:$A$35,0))-(('Legend Attributes'!G34-1)/19)*(INDEX('Conversion Range'!$D$2:$D$35,MATCH(G$1,'Conversion Range'!$A$2:$A$35,0))-INDEX('Conversion Range'!$C$2:$C$35,MATCH(G$1,'Conversion Range'!$A$2:$A$35,0))),INDEX('Conversion Range'!$C$2:$C$35,MATCH(G$1,'Conversion Range'!$A$2:$A$35,0))+(('Legend Attributes'!G34-1)/19)*(INDEX('Conversion Range'!$D$2:$D$35,MATCH(G$1,'Conversion Range'!$A$2:$A$35,0))-INDEX('Conversion Range'!$C$2:$C$35,MATCH(G$1,'Conversion Range'!$A$2:$A$35,0)))),3))</f>
        <v>0.43099999999999999</v>
      </c>
      <c r="H34">
        <f>IF('Legend Attributes'!H34=0,0,ROUND(IF(INDEX('Conversion Range'!$E$2:$E$35,MATCH(H$1,'Conversion Range'!$A$2:$A$35,0))=1,INDEX('Conversion Range'!$D$2:$D$35,MATCH(H$1,'Conversion Range'!$A$2:$A$35,0))-(('Legend Attributes'!H34-1)/19)*(INDEX('Conversion Range'!$D$2:$D$35,MATCH(H$1,'Conversion Range'!$A$2:$A$35,0))-INDEX('Conversion Range'!$C$2:$C$35,MATCH(H$1,'Conversion Range'!$A$2:$A$35,0))),INDEX('Conversion Range'!$C$2:$C$35,MATCH(H$1,'Conversion Range'!$A$2:$A$35,0))+(('Legend Attributes'!H34-1)/19)*(INDEX('Conversion Range'!$D$2:$D$35,MATCH(H$1,'Conversion Range'!$A$2:$A$35,0))-INDEX('Conversion Range'!$C$2:$C$35,MATCH(H$1,'Conversion Range'!$A$2:$A$35,0)))),3))</f>
        <v>5.2999999999999999E-2</v>
      </c>
      <c r="I34">
        <f>IF('Legend Attributes'!I34=0,0,ROUND(IF(INDEX('Conversion Range'!$E$2:$E$35,MATCH(I$1,'Conversion Range'!$A$2:$A$35,0))=1,INDEX('Conversion Range'!$D$2:$D$35,MATCH(I$1,'Conversion Range'!$A$2:$A$35,0))-(('Legend Attributes'!I34-1)/19)*(INDEX('Conversion Range'!$D$2:$D$35,MATCH(I$1,'Conversion Range'!$A$2:$A$35,0))-INDEX('Conversion Range'!$C$2:$C$35,MATCH(I$1,'Conversion Range'!$A$2:$A$35,0))),INDEX('Conversion Range'!$C$2:$C$35,MATCH(I$1,'Conversion Range'!$A$2:$A$35,0))+(('Legend Attributes'!I34-1)/19)*(INDEX('Conversion Range'!$D$2:$D$35,MATCH(I$1,'Conversion Range'!$A$2:$A$35,0))-INDEX('Conversion Range'!$C$2:$C$35,MATCH(I$1,'Conversion Range'!$A$2:$A$35,0)))),3))</f>
        <v>1.153</v>
      </c>
      <c r="J34">
        <f>IF('Legend Attributes'!J34=0,0,ROUND(IF(INDEX('Conversion Range'!$E$2:$E$35,MATCH(J$1,'Conversion Range'!$A$2:$A$35,0))=1,INDEX('Conversion Range'!$D$2:$D$35,MATCH(J$1,'Conversion Range'!$A$2:$A$35,0))-(('Legend Attributes'!J34-1)/19)*(INDEX('Conversion Range'!$D$2:$D$35,MATCH(J$1,'Conversion Range'!$A$2:$A$35,0))-INDEX('Conversion Range'!$C$2:$C$35,MATCH(J$1,'Conversion Range'!$A$2:$A$35,0))),INDEX('Conversion Range'!$C$2:$C$35,MATCH(J$1,'Conversion Range'!$A$2:$A$35,0))+(('Legend Attributes'!J34-1)/19)*(INDEX('Conversion Range'!$D$2:$D$35,MATCH(J$1,'Conversion Range'!$A$2:$A$35,0))-INDEX('Conversion Range'!$C$2:$C$35,MATCH(J$1,'Conversion Range'!$A$2:$A$35,0)))),3))</f>
        <v>2.3210000000000002</v>
      </c>
      <c r="K34">
        <f>IF('Legend Attributes'!K34=0,0,ROUND(IF(INDEX('Conversion Range'!$E$2:$E$35,MATCH(K$1,'Conversion Range'!$A$2:$A$35,0))=1,INDEX('Conversion Range'!$D$2:$D$35,MATCH(K$1,'Conversion Range'!$A$2:$A$35,0))-(('Legend Attributes'!K34-1)/19)*(INDEX('Conversion Range'!$D$2:$D$35,MATCH(K$1,'Conversion Range'!$A$2:$A$35,0))-INDEX('Conversion Range'!$C$2:$C$35,MATCH(K$1,'Conversion Range'!$A$2:$A$35,0))),INDEX('Conversion Range'!$C$2:$C$35,MATCH(K$1,'Conversion Range'!$A$2:$A$35,0))+(('Legend Attributes'!K34-1)/19)*(INDEX('Conversion Range'!$D$2:$D$35,MATCH(K$1,'Conversion Range'!$A$2:$A$35,0))-INDEX('Conversion Range'!$C$2:$C$35,MATCH(K$1,'Conversion Range'!$A$2:$A$35,0)))),3))</f>
        <v>1.258</v>
      </c>
      <c r="L34">
        <f>IF('Legend Attributes'!L34=0,0,ROUND(IF(INDEX('Conversion Range'!$E$2:$E$35,MATCH(L$1,'Conversion Range'!$A$2:$A$35,0))=1,INDEX('Conversion Range'!$D$2:$D$35,MATCH(L$1,'Conversion Range'!$A$2:$A$35,0))-(('Legend Attributes'!L34-1)/19)*(INDEX('Conversion Range'!$D$2:$D$35,MATCH(L$1,'Conversion Range'!$A$2:$A$35,0))-INDEX('Conversion Range'!$C$2:$C$35,MATCH(L$1,'Conversion Range'!$A$2:$A$35,0))),INDEX('Conversion Range'!$C$2:$C$35,MATCH(L$1,'Conversion Range'!$A$2:$A$35,0))+(('Legend Attributes'!L34-1)/19)*(INDEX('Conversion Range'!$D$2:$D$35,MATCH(L$1,'Conversion Range'!$A$2:$A$35,0))-INDEX('Conversion Range'!$C$2:$C$35,MATCH(L$1,'Conversion Range'!$A$2:$A$35,0)))),3))</f>
        <v>1.958</v>
      </c>
      <c r="M34">
        <f>IF('Legend Attributes'!M34=0,0,ROUND(IF(INDEX('Conversion Range'!$E$2:$E$35,MATCH(M$1,'Conversion Range'!$A$2:$A$35,0))=1,INDEX('Conversion Range'!$D$2:$D$35,MATCH(M$1,'Conversion Range'!$A$2:$A$35,0))-(('Legend Attributes'!M34-1)/19)*(INDEX('Conversion Range'!$D$2:$D$35,MATCH(M$1,'Conversion Range'!$A$2:$A$35,0))-INDEX('Conversion Range'!$C$2:$C$35,MATCH(M$1,'Conversion Range'!$A$2:$A$35,0))),INDEX('Conversion Range'!$C$2:$C$35,MATCH(M$1,'Conversion Range'!$A$2:$A$35,0))+(('Legend Attributes'!M34-1)/19)*(INDEX('Conversion Range'!$D$2:$D$35,MATCH(M$1,'Conversion Range'!$A$2:$A$35,0))-INDEX('Conversion Range'!$C$2:$C$35,MATCH(M$1,'Conversion Range'!$A$2:$A$35,0)))),3))</f>
        <v>0.505</v>
      </c>
      <c r="N34">
        <f>IF('Legend Attributes'!N34=0,0,ROUND(IF(INDEX('Conversion Range'!$E$2:$E$35,MATCH(N$1,'Conversion Range'!$A$2:$A$35,0))=1,INDEX('Conversion Range'!$D$2:$D$35,MATCH(N$1,'Conversion Range'!$A$2:$A$35,0))-(('Legend Attributes'!N34-1)/19)*(INDEX('Conversion Range'!$D$2:$D$35,MATCH(N$1,'Conversion Range'!$A$2:$A$35,0))-INDEX('Conversion Range'!$C$2:$C$35,MATCH(N$1,'Conversion Range'!$A$2:$A$35,0))),INDEX('Conversion Range'!$C$2:$C$35,MATCH(N$1,'Conversion Range'!$A$2:$A$35,0))+(('Legend Attributes'!N34-1)/19)*(INDEX('Conversion Range'!$D$2:$D$35,MATCH(N$1,'Conversion Range'!$A$2:$A$35,0))-INDEX('Conversion Range'!$C$2:$C$35,MATCH(N$1,'Conversion Range'!$A$2:$A$35,0)))),3))</f>
        <v>7.9210000000000003</v>
      </c>
      <c r="O34">
        <f>IF('Legend Attributes'!O34=0,0,ROUND(IF(INDEX('Conversion Range'!$E$2:$E$35,MATCH(O$1,'Conversion Range'!$A$2:$A$35,0))=1,INDEX('Conversion Range'!$D$2:$D$35,MATCH(O$1,'Conversion Range'!$A$2:$A$35,0))-(('Legend Attributes'!O34-1)/19)*(INDEX('Conversion Range'!$D$2:$D$35,MATCH(O$1,'Conversion Range'!$A$2:$A$35,0))-INDEX('Conversion Range'!$C$2:$C$35,MATCH(O$1,'Conversion Range'!$A$2:$A$35,0))),INDEX('Conversion Range'!$C$2:$C$35,MATCH(O$1,'Conversion Range'!$A$2:$A$35,0))+(('Legend Attributes'!O34-1)/19)*(INDEX('Conversion Range'!$D$2:$D$35,MATCH(O$1,'Conversion Range'!$A$2:$A$35,0))-INDEX('Conversion Range'!$C$2:$C$35,MATCH(O$1,'Conversion Range'!$A$2:$A$35,0)))),3))</f>
        <v>1.242</v>
      </c>
      <c r="P34">
        <f>IF('Legend Attributes'!P34=0,0,ROUND(IF(INDEX('Conversion Range'!$E$2:$E$35,MATCH(P$1,'Conversion Range'!$A$2:$A$35,0))=1,INDEX('Conversion Range'!$D$2:$D$35,MATCH(P$1,'Conversion Range'!$A$2:$A$35,0))-(('Legend Attributes'!P34-1)/19)*(INDEX('Conversion Range'!$D$2:$D$35,MATCH(P$1,'Conversion Range'!$A$2:$A$35,0))-INDEX('Conversion Range'!$C$2:$C$35,MATCH(P$1,'Conversion Range'!$A$2:$A$35,0))),INDEX('Conversion Range'!$C$2:$C$35,MATCH(P$1,'Conversion Range'!$A$2:$A$35,0))+(('Legend Attributes'!P34-1)/19)*(INDEX('Conversion Range'!$D$2:$D$35,MATCH(P$1,'Conversion Range'!$A$2:$A$35,0))-INDEX('Conversion Range'!$C$2:$C$35,MATCH(P$1,'Conversion Range'!$A$2:$A$35,0)))),3))</f>
        <v>58.947000000000003</v>
      </c>
      <c r="Q34">
        <f>IF('Legend Attributes'!Q34=0,0,ROUND(IF(INDEX('Conversion Range'!$E$2:$E$35,MATCH(Q$1,'Conversion Range'!$A$2:$A$35,0))=1,INDEX('Conversion Range'!$D$2:$D$35,MATCH(Q$1,'Conversion Range'!$A$2:$A$35,0))-(('Legend Attributes'!Q34-1)/19)*(INDEX('Conversion Range'!$D$2:$D$35,MATCH(Q$1,'Conversion Range'!$A$2:$A$35,0))-INDEX('Conversion Range'!$C$2:$C$35,MATCH(Q$1,'Conversion Range'!$A$2:$A$35,0))),INDEX('Conversion Range'!$C$2:$C$35,MATCH(Q$1,'Conversion Range'!$A$2:$A$35,0))+(('Legend Attributes'!Q34-1)/19)*(INDEX('Conversion Range'!$D$2:$D$35,MATCH(Q$1,'Conversion Range'!$A$2:$A$35,0))-INDEX('Conversion Range'!$C$2:$C$35,MATCH(Q$1,'Conversion Range'!$A$2:$A$35,0)))),3))</f>
        <v>54.104999999999997</v>
      </c>
      <c r="R34">
        <f>IF('Legend Attributes'!R34=0,0,ROUND(IF(INDEX('Conversion Range'!$E$2:$E$35,MATCH(R$1,'Conversion Range'!$A$2:$A$35,0))=1,INDEX('Conversion Range'!$D$2:$D$35,MATCH(R$1,'Conversion Range'!$A$2:$A$35,0))-(('Legend Attributes'!R34-1)/19)*(INDEX('Conversion Range'!$D$2:$D$35,MATCH(R$1,'Conversion Range'!$A$2:$A$35,0))-INDEX('Conversion Range'!$C$2:$C$35,MATCH(R$1,'Conversion Range'!$A$2:$A$35,0))),INDEX('Conversion Range'!$C$2:$C$35,MATCH(R$1,'Conversion Range'!$A$2:$A$35,0))+(('Legend Attributes'!R34-1)/19)*(INDEX('Conversion Range'!$D$2:$D$35,MATCH(R$1,'Conversion Range'!$A$2:$A$35,0))-INDEX('Conversion Range'!$C$2:$C$35,MATCH(R$1,'Conversion Range'!$A$2:$A$35,0)))),3))</f>
        <v>80.263000000000005</v>
      </c>
      <c r="S34">
        <f>IF('Legend Attributes'!S34=0,0,ROUND(IF(INDEX('Conversion Range'!$E$2:$E$35,MATCH(S$1,'Conversion Range'!$A$2:$A$35,0))=1,INDEX('Conversion Range'!$D$2:$D$35,MATCH(S$1,'Conversion Range'!$A$2:$A$35,0))-(('Legend Attributes'!S34-1)/19)*(INDEX('Conversion Range'!$D$2:$D$35,MATCH(S$1,'Conversion Range'!$A$2:$A$35,0))-INDEX('Conversion Range'!$C$2:$C$35,MATCH(S$1,'Conversion Range'!$A$2:$A$35,0))),INDEX('Conversion Range'!$C$2:$C$35,MATCH(S$1,'Conversion Range'!$A$2:$A$35,0))+(('Legend Attributes'!S34-1)/19)*(INDEX('Conversion Range'!$D$2:$D$35,MATCH(S$1,'Conversion Range'!$A$2:$A$35,0))-INDEX('Conversion Range'!$C$2:$C$35,MATCH(S$1,'Conversion Range'!$A$2:$A$35,0)))),3))</f>
        <v>3.3210000000000002</v>
      </c>
      <c r="T34">
        <f>IF('Legend Attributes'!T34=0,0,ROUND(IF(INDEX('Conversion Range'!$E$2:$E$35,MATCH(T$1,'Conversion Range'!$A$2:$A$35,0))=1,INDEX('Conversion Range'!$D$2:$D$35,MATCH(T$1,'Conversion Range'!$A$2:$A$35,0))-(('Legend Attributes'!T34-1)/19)*(INDEX('Conversion Range'!$D$2:$D$35,MATCH(T$1,'Conversion Range'!$A$2:$A$35,0))-INDEX('Conversion Range'!$C$2:$C$35,MATCH(T$1,'Conversion Range'!$A$2:$A$35,0))),INDEX('Conversion Range'!$C$2:$C$35,MATCH(T$1,'Conversion Range'!$A$2:$A$35,0))+(('Legend Attributes'!T34-1)/19)*(INDEX('Conversion Range'!$D$2:$D$35,MATCH(T$1,'Conversion Range'!$A$2:$A$35,0))-INDEX('Conversion Range'!$C$2:$C$35,MATCH(T$1,'Conversion Range'!$A$2:$A$35,0)))),3))</f>
        <v>45.368000000000002</v>
      </c>
      <c r="U34">
        <f>IF('Legend Attributes'!U34=0,0,ROUND(IF(INDEX('Conversion Range'!$E$2:$E$35,MATCH(U$1,'Conversion Range'!$A$2:$A$35,0))=1,INDEX('Conversion Range'!$D$2:$D$35,MATCH(U$1,'Conversion Range'!$A$2:$A$35,0))-(('Legend Attributes'!U34-1)/19)*(INDEX('Conversion Range'!$D$2:$D$35,MATCH(U$1,'Conversion Range'!$A$2:$A$35,0))-INDEX('Conversion Range'!$C$2:$C$35,MATCH(U$1,'Conversion Range'!$A$2:$A$35,0))),INDEX('Conversion Range'!$C$2:$C$35,MATCH(U$1,'Conversion Range'!$A$2:$A$35,0))+(('Legend Attributes'!U34-1)/19)*(INDEX('Conversion Range'!$D$2:$D$35,MATCH(U$1,'Conversion Range'!$A$2:$A$35,0))-INDEX('Conversion Range'!$C$2:$C$35,MATCH(U$1,'Conversion Range'!$A$2:$A$35,0)))),3))</f>
        <v>1.9419999999999999</v>
      </c>
      <c r="V34">
        <f>IF('Legend Attributes'!V34=0,0,ROUND(IF(INDEX('Conversion Range'!$E$2:$E$35,MATCH(V$1,'Conversion Range'!$A$2:$A$35,0))=1,INDEX('Conversion Range'!$D$2:$D$35,MATCH(V$1,'Conversion Range'!$A$2:$A$35,0))-(('Legend Attributes'!V34-1)/19)*(INDEX('Conversion Range'!$D$2:$D$35,MATCH(V$1,'Conversion Range'!$A$2:$A$35,0))-INDEX('Conversion Range'!$C$2:$C$35,MATCH(V$1,'Conversion Range'!$A$2:$A$35,0))),INDEX('Conversion Range'!$C$2:$C$35,MATCH(V$1,'Conversion Range'!$A$2:$A$35,0))+(('Legend Attributes'!V34-1)/19)*(INDEX('Conversion Range'!$D$2:$D$35,MATCH(V$1,'Conversion Range'!$A$2:$A$35,0))-INDEX('Conversion Range'!$C$2:$C$35,MATCH(V$1,'Conversion Range'!$A$2:$A$35,0)))),3))</f>
        <v>48.947000000000003</v>
      </c>
      <c r="W34">
        <f>IF('Legend Attributes'!W34=0,0,ROUND(IF(INDEX('Conversion Range'!$E$2:$E$35,MATCH(W$1,'Conversion Range'!$A$2:$A$35,0))=1,INDEX('Conversion Range'!$D$2:$D$35,MATCH(W$1,'Conversion Range'!$A$2:$A$35,0))-(('Legend Attributes'!W34-1)/19)*(INDEX('Conversion Range'!$D$2:$D$35,MATCH(W$1,'Conversion Range'!$A$2:$A$35,0))-INDEX('Conversion Range'!$C$2:$C$35,MATCH(W$1,'Conversion Range'!$A$2:$A$35,0))),INDEX('Conversion Range'!$C$2:$C$35,MATCH(W$1,'Conversion Range'!$A$2:$A$35,0))+(('Legend Attributes'!W34-1)/19)*(INDEX('Conversion Range'!$D$2:$D$35,MATCH(W$1,'Conversion Range'!$A$2:$A$35,0))-INDEX('Conversion Range'!$C$2:$C$35,MATCH(W$1,'Conversion Range'!$A$2:$A$35,0)))),3))</f>
        <v>0.13200000000000001</v>
      </c>
      <c r="X34">
        <f>IF('Legend Attributes'!X34=0,0,ROUND(IF(INDEX('Conversion Range'!$E$2:$E$35,MATCH(X$1,'Conversion Range'!$A$2:$A$35,0))=1,INDEX('Conversion Range'!$D$2:$D$35,MATCH(X$1,'Conversion Range'!$A$2:$A$35,0))-(('Legend Attributes'!X34-1)/19)*(INDEX('Conversion Range'!$D$2:$D$35,MATCH(X$1,'Conversion Range'!$A$2:$A$35,0))-INDEX('Conversion Range'!$C$2:$C$35,MATCH(X$1,'Conversion Range'!$A$2:$A$35,0))),INDEX('Conversion Range'!$C$2:$C$35,MATCH(X$1,'Conversion Range'!$A$2:$A$35,0))+(('Legend Attributes'!X34-1)/19)*(INDEX('Conversion Range'!$D$2:$D$35,MATCH(X$1,'Conversion Range'!$A$2:$A$35,0))-INDEX('Conversion Range'!$C$2:$C$35,MATCH(X$1,'Conversion Range'!$A$2:$A$35,0)))),3))</f>
        <v>0.40500000000000003</v>
      </c>
      <c r="Y34">
        <f>IF('Legend Attributes'!Y34=0,0,ROUND(IF(INDEX('Conversion Range'!$E$2:$E$35,MATCH(Y$1,'Conversion Range'!$A$2:$A$35,0))=1,INDEX('Conversion Range'!$D$2:$D$35,MATCH(Y$1,'Conversion Range'!$A$2:$A$35,0))-(('Legend Attributes'!Y34-1)/19)*(INDEX('Conversion Range'!$D$2:$D$35,MATCH(Y$1,'Conversion Range'!$A$2:$A$35,0))-INDEX('Conversion Range'!$C$2:$C$35,MATCH(Y$1,'Conversion Range'!$A$2:$A$35,0))),INDEX('Conversion Range'!$C$2:$C$35,MATCH(Y$1,'Conversion Range'!$A$2:$A$35,0))+(('Legend Attributes'!Y34-1)/19)*(INDEX('Conversion Range'!$D$2:$D$35,MATCH(Y$1,'Conversion Range'!$A$2:$A$35,0))-INDEX('Conversion Range'!$C$2:$C$35,MATCH(Y$1,'Conversion Range'!$A$2:$A$35,0)))),3))</f>
        <v>0.42599999999999999</v>
      </c>
      <c r="Z34">
        <f>IF('Legend Attributes'!Z34=0,0,ROUND(IF(INDEX('Conversion Range'!$E$2:$E$35,MATCH(Z$1,'Conversion Range'!$A$2:$A$35,0))=1,INDEX('Conversion Range'!$D$2:$D$35,MATCH(Z$1,'Conversion Range'!$A$2:$A$35,0))-(('Legend Attributes'!Z34-1)/19)*(INDEX('Conversion Range'!$D$2:$D$35,MATCH(Z$1,'Conversion Range'!$A$2:$A$35,0))-INDEX('Conversion Range'!$C$2:$C$35,MATCH(Z$1,'Conversion Range'!$A$2:$A$35,0))),INDEX('Conversion Range'!$C$2:$C$35,MATCH(Z$1,'Conversion Range'!$A$2:$A$35,0))+(('Legend Attributes'!Z34-1)/19)*(INDEX('Conversion Range'!$D$2:$D$35,MATCH(Z$1,'Conversion Range'!$A$2:$A$35,0))-INDEX('Conversion Range'!$C$2:$C$35,MATCH(Z$1,'Conversion Range'!$A$2:$A$35,0)))),3))</f>
        <v>8.1050000000000004</v>
      </c>
      <c r="AA34">
        <f>IF('Legend Attributes'!AA34=0,0,ROUND(IF(INDEX('Conversion Range'!$E$2:$E$35,MATCH(AA$1,'Conversion Range'!$A$2:$A$35,0))=1,INDEX('Conversion Range'!$D$2:$D$35,MATCH(AA$1,'Conversion Range'!$A$2:$A$35,0))-(('Legend Attributes'!AA34-1)/19)*(INDEX('Conversion Range'!$D$2:$D$35,MATCH(AA$1,'Conversion Range'!$A$2:$A$35,0))-INDEX('Conversion Range'!$C$2:$C$35,MATCH(AA$1,'Conversion Range'!$A$2:$A$35,0))),INDEX('Conversion Range'!$C$2:$C$35,MATCH(AA$1,'Conversion Range'!$A$2:$A$35,0))+(('Legend Attributes'!AA34-1)/19)*(INDEX('Conversion Range'!$D$2:$D$35,MATCH(AA$1,'Conversion Range'!$A$2:$A$35,0))-INDEX('Conversion Range'!$C$2:$C$35,MATCH(AA$1,'Conversion Range'!$A$2:$A$35,0)))),3))</f>
        <v>0</v>
      </c>
      <c r="AB34">
        <f>IF('Legend Attributes'!AB34=0,0,ROUND(IF(INDEX('Conversion Range'!$E$2:$E$35,MATCH(AB$1,'Conversion Range'!$A$2:$A$35,0))=1,INDEX('Conversion Range'!$D$2:$D$35,MATCH(AB$1,'Conversion Range'!$A$2:$A$35,0))-(('Legend Attributes'!AB34-1)/19)*(INDEX('Conversion Range'!$D$2:$D$35,MATCH(AB$1,'Conversion Range'!$A$2:$A$35,0))-INDEX('Conversion Range'!$C$2:$C$35,MATCH(AB$1,'Conversion Range'!$A$2:$A$35,0))),INDEX('Conversion Range'!$C$2:$C$35,MATCH(AB$1,'Conversion Range'!$A$2:$A$35,0))+(('Legend Attributes'!AB34-1)/19)*(INDEX('Conversion Range'!$D$2:$D$35,MATCH(AB$1,'Conversion Range'!$A$2:$A$35,0))-INDEX('Conversion Range'!$C$2:$C$35,MATCH(AB$1,'Conversion Range'!$A$2:$A$35,0)))),3))</f>
        <v>0.42899999999999999</v>
      </c>
      <c r="AC34">
        <f>IF('Legend Attributes'!AC34=0,0,ROUND(IF(INDEX('Conversion Range'!$E$2:$E$35,MATCH(AC$1,'Conversion Range'!$A$2:$A$35,0))=1,INDEX('Conversion Range'!$D$2:$D$35,MATCH(AC$1,'Conversion Range'!$A$2:$A$35,0))-(('Legend Attributes'!AC34-1)/19)*(INDEX('Conversion Range'!$D$2:$D$35,MATCH(AC$1,'Conversion Range'!$A$2:$A$35,0))-INDEX('Conversion Range'!$C$2:$C$35,MATCH(AC$1,'Conversion Range'!$A$2:$A$35,0))),INDEX('Conversion Range'!$C$2:$C$35,MATCH(AC$1,'Conversion Range'!$A$2:$A$35,0))+(('Legend Attributes'!AC34-1)/19)*(INDEX('Conversion Range'!$D$2:$D$35,MATCH(AC$1,'Conversion Range'!$A$2:$A$35,0))-INDEX('Conversion Range'!$C$2:$C$35,MATCH(AC$1,'Conversion Range'!$A$2:$A$35,0)))),3))</f>
        <v>0.30399999999999999</v>
      </c>
      <c r="AD34">
        <f>IF('Legend Attributes'!AD34=0,0,ROUND(IF(INDEX('Conversion Range'!$E$2:$E$35,MATCH(AD$1,'Conversion Range'!$A$2:$A$35,0))=1,INDEX('Conversion Range'!$D$2:$D$35,MATCH(AD$1,'Conversion Range'!$A$2:$A$35,0))-(('Legend Attributes'!AD34-1)/19)*(INDEX('Conversion Range'!$D$2:$D$35,MATCH(AD$1,'Conversion Range'!$A$2:$A$35,0))-INDEX('Conversion Range'!$C$2:$C$35,MATCH(AD$1,'Conversion Range'!$A$2:$A$35,0))),INDEX('Conversion Range'!$C$2:$C$35,MATCH(AD$1,'Conversion Range'!$A$2:$A$35,0))+(('Legend Attributes'!AD34-1)/19)*(INDEX('Conversion Range'!$D$2:$D$35,MATCH(AD$1,'Conversion Range'!$A$2:$A$35,0))-INDEX('Conversion Range'!$C$2:$C$35,MATCH(AD$1,'Conversion Range'!$A$2:$A$35,0)))),3))</f>
        <v>0</v>
      </c>
      <c r="AE34">
        <f>IF('Legend Attributes'!AE34=0,0,ROUND(IF(INDEX('Conversion Range'!$E$2:$E$35,MATCH(AE$1,'Conversion Range'!$A$2:$A$35,0))=1,INDEX('Conversion Range'!$D$2:$D$35,MATCH(AE$1,'Conversion Range'!$A$2:$A$35,0))-(('Legend Attributes'!AE34-1)/19)*(INDEX('Conversion Range'!$D$2:$D$35,MATCH(AE$1,'Conversion Range'!$A$2:$A$35,0))-INDEX('Conversion Range'!$C$2:$C$35,MATCH(AE$1,'Conversion Range'!$A$2:$A$35,0))),INDEX('Conversion Range'!$C$2:$C$35,MATCH(AE$1,'Conversion Range'!$A$2:$A$35,0))+(('Legend Attributes'!AE34-1)/19)*(INDEX('Conversion Range'!$D$2:$D$35,MATCH(AE$1,'Conversion Range'!$A$2:$A$35,0))-INDEX('Conversion Range'!$C$2:$C$35,MATCH(AE$1,'Conversion Range'!$A$2:$A$35,0)))),3))</f>
        <v>0</v>
      </c>
      <c r="AF34">
        <f>IF('Legend Attributes'!AF34=0,0,ROUND(IF(INDEX('Conversion Range'!$E$2:$E$35,MATCH(AF$1,'Conversion Range'!$A$2:$A$35,0))=1,INDEX('Conversion Range'!$D$2:$D$35,MATCH(AF$1,'Conversion Range'!$A$2:$A$35,0))-(('Legend Attributes'!AF34-1)/19)*(INDEX('Conversion Range'!$D$2:$D$35,MATCH(AF$1,'Conversion Range'!$A$2:$A$35,0))-INDEX('Conversion Range'!$C$2:$C$35,MATCH(AF$1,'Conversion Range'!$A$2:$A$35,0))),INDEX('Conversion Range'!$C$2:$C$35,MATCH(AF$1,'Conversion Range'!$A$2:$A$35,0))+(('Legend Attributes'!AF34-1)/19)*(INDEX('Conversion Range'!$D$2:$D$35,MATCH(AF$1,'Conversion Range'!$A$2:$A$35,0))-INDEX('Conversion Range'!$C$2:$C$35,MATCH(AF$1,'Conversion Range'!$A$2:$A$35,0)))),3))</f>
        <v>0</v>
      </c>
      <c r="AG34">
        <f>IF('Legend Attributes'!AG34=0,0,ROUND(IF(INDEX('Conversion Range'!$E$2:$E$35,MATCH(AG$1,'Conversion Range'!$A$2:$A$35,0))=1,INDEX('Conversion Range'!$D$2:$D$35,MATCH(AG$1,'Conversion Range'!$A$2:$A$35,0))-(('Legend Attributes'!AG34-1)/19)*(INDEX('Conversion Range'!$D$2:$D$35,MATCH(AG$1,'Conversion Range'!$A$2:$A$35,0))-INDEX('Conversion Range'!$C$2:$C$35,MATCH(AG$1,'Conversion Range'!$A$2:$A$35,0))),INDEX('Conversion Range'!$C$2:$C$35,MATCH(AG$1,'Conversion Range'!$A$2:$A$35,0))+(('Legend Attributes'!AG34-1)/19)*(INDEX('Conversion Range'!$D$2:$D$35,MATCH(AG$1,'Conversion Range'!$A$2:$A$35,0))-INDEX('Conversion Range'!$C$2:$C$35,MATCH(AG$1,'Conversion Range'!$A$2:$A$35,0)))),3))</f>
        <v>1.1319999999999999</v>
      </c>
      <c r="AH34">
        <f>IF('Legend Attributes'!AH34=0,0,ROUND(IF(INDEX('Conversion Range'!$E$2:$E$35,MATCH(AH$1,'Conversion Range'!$A$2:$A$35,0))=1,INDEX('Conversion Range'!$D$2:$D$35,MATCH(AH$1,'Conversion Range'!$A$2:$A$35,0))-(('Legend Attributes'!AH34-1)/19)*(INDEX('Conversion Range'!$D$2:$D$35,MATCH(AH$1,'Conversion Range'!$A$2:$A$35,0))-INDEX('Conversion Range'!$C$2:$C$35,MATCH(AH$1,'Conversion Range'!$A$2:$A$35,0))),INDEX('Conversion Range'!$C$2:$C$35,MATCH(AH$1,'Conversion Range'!$A$2:$A$35,0))+(('Legend Attributes'!AH34-1)/19)*(INDEX('Conversion Range'!$D$2:$D$35,MATCH(AH$1,'Conversion Range'!$A$2:$A$35,0))-INDEX('Conversion Range'!$C$2:$C$35,MATCH(AH$1,'Conversion Range'!$A$2:$A$35,0)))),3))</f>
        <v>0.224</v>
      </c>
      <c r="AI34">
        <f>IF('Legend Attributes'!AI34=0,0,ROUND(IF(INDEX('Conversion Range'!$E$2:$E$35,MATCH(AI$1,'Conversion Range'!$A$2:$A$35,0))=1,INDEX('Conversion Range'!$D$2:$D$35,MATCH(AI$1,'Conversion Range'!$A$2:$A$35,0))-(('Legend Attributes'!AI34-1)/19)*(INDEX('Conversion Range'!$D$2:$D$35,MATCH(AI$1,'Conversion Range'!$A$2:$A$35,0))-INDEX('Conversion Range'!$C$2:$C$35,MATCH(AI$1,'Conversion Range'!$A$2:$A$35,0))),INDEX('Conversion Range'!$C$2:$C$35,MATCH(AI$1,'Conversion Range'!$A$2:$A$35,0))+(('Legend Attributes'!AI34-1)/19)*(INDEX('Conversion Range'!$D$2:$D$35,MATCH(AI$1,'Conversion Range'!$A$2:$A$35,0))-INDEX('Conversion Range'!$C$2:$C$35,MATCH(AI$1,'Conversion Range'!$A$2:$A$35,0)))),3))</f>
        <v>5.0999999999999997E-2</v>
      </c>
      <c r="AJ34">
        <f>IF('Legend Attributes'!AJ34=0,0,ROUND(IF(INDEX('Conversion Range'!$E$2:$E$35,MATCH(AJ$1,'Conversion Range'!$A$2:$A$35,0))=1,INDEX('Conversion Range'!$D$2:$D$35,MATCH(AJ$1,'Conversion Range'!$A$2:$A$35,0))-(('Legend Attributes'!AJ34-1)/19)*(INDEX('Conversion Range'!$D$2:$D$35,MATCH(AJ$1,'Conversion Range'!$A$2:$A$35,0))-INDEX('Conversion Range'!$C$2:$C$35,MATCH(AJ$1,'Conversion Range'!$A$2:$A$35,0))),INDEX('Conversion Range'!$C$2:$C$35,MATCH(AJ$1,'Conversion Range'!$A$2:$A$35,0))+(('Legend Attributes'!AJ34-1)/19)*(INDEX('Conversion Range'!$D$2:$D$35,MATCH(AJ$1,'Conversion Range'!$A$2:$A$35,0))-INDEX('Conversion Range'!$C$2:$C$35,MATCH(AJ$1,'Conversion Range'!$A$2:$A$35,0)))),3))</f>
        <v>7.726</v>
      </c>
    </row>
    <row r="35" spans="1:36" x14ac:dyDescent="0.35">
      <c r="A35" t="str">
        <f>'Legend Attributes'!A35</f>
        <v>Fernando Morientes</v>
      </c>
      <c r="B35" t="str">
        <f>'Legend Attributes'!B35</f>
        <v>ST</v>
      </c>
      <c r="C35">
        <f>IF('Legend Attributes'!C35=0,0,ROUND(IF(INDEX('Conversion Range'!$E$2:$E$35,MATCH(C$1,'Conversion Range'!$A$2:$A$35,0))=1,INDEX('Conversion Range'!$D$2:$D$35,MATCH(C$1,'Conversion Range'!$A$2:$A$35,0))-(('Legend Attributes'!C35-1)/19)*(INDEX('Conversion Range'!$D$2:$D$35,MATCH(C$1,'Conversion Range'!$A$2:$A$35,0))-INDEX('Conversion Range'!$C$2:$C$35,MATCH(C$1,'Conversion Range'!$A$2:$A$35,0))),INDEX('Conversion Range'!$C$2:$C$35,MATCH(C$1,'Conversion Range'!$A$2:$A$35,0))+(('Legend Attributes'!C35-1)/19)*(INDEX('Conversion Range'!$D$2:$D$35,MATCH(C$1,'Conversion Range'!$A$2:$A$35,0))-INDEX('Conversion Range'!$C$2:$C$35,MATCH(C$1,'Conversion Range'!$A$2:$A$35,0)))),3))</f>
        <v>0.58799999999999997</v>
      </c>
      <c r="D35">
        <f>IF('Legend Attributes'!D35=0,0,ROUND(IF(INDEX('Conversion Range'!$E$2:$E$35,MATCH(D$1,'Conversion Range'!$A$2:$A$35,0))=1,INDEX('Conversion Range'!$D$2:$D$35,MATCH(D$1,'Conversion Range'!$A$2:$A$35,0))-(('Legend Attributes'!D35-1)/19)*(INDEX('Conversion Range'!$D$2:$D$35,MATCH(D$1,'Conversion Range'!$A$2:$A$35,0))-INDEX('Conversion Range'!$C$2:$C$35,MATCH(D$1,'Conversion Range'!$A$2:$A$35,0))),INDEX('Conversion Range'!$C$2:$C$35,MATCH(D$1,'Conversion Range'!$A$2:$A$35,0))+(('Legend Attributes'!D35-1)/19)*(INDEX('Conversion Range'!$D$2:$D$35,MATCH(D$1,'Conversion Range'!$A$2:$A$35,0))-INDEX('Conversion Range'!$C$2:$C$35,MATCH(D$1,'Conversion Range'!$A$2:$A$35,0)))),3))</f>
        <v>0.48099999999999998</v>
      </c>
      <c r="E35">
        <f>IF('Legend Attributes'!E35=0,0,ROUND(IF(INDEX('Conversion Range'!$E$2:$E$35,MATCH(E$1,'Conversion Range'!$A$2:$A$35,0))=1,INDEX('Conversion Range'!$D$2:$D$35,MATCH(E$1,'Conversion Range'!$A$2:$A$35,0))-(('Legend Attributes'!E35-1)/19)*(INDEX('Conversion Range'!$D$2:$D$35,MATCH(E$1,'Conversion Range'!$A$2:$A$35,0))-INDEX('Conversion Range'!$C$2:$C$35,MATCH(E$1,'Conversion Range'!$A$2:$A$35,0))),INDEX('Conversion Range'!$C$2:$C$35,MATCH(E$1,'Conversion Range'!$A$2:$A$35,0))+(('Legend Attributes'!E35-1)/19)*(INDEX('Conversion Range'!$D$2:$D$35,MATCH(E$1,'Conversion Range'!$A$2:$A$35,0))-INDEX('Conversion Range'!$C$2:$C$35,MATCH(E$1,'Conversion Range'!$A$2:$A$35,0)))),3))</f>
        <v>0.152</v>
      </c>
      <c r="F35">
        <f>IF('Legend Attributes'!F35=0,0,ROUND(IF(INDEX('Conversion Range'!$E$2:$E$35,MATCH(F$1,'Conversion Range'!$A$2:$A$35,0))=1,INDEX('Conversion Range'!$D$2:$D$35,MATCH(F$1,'Conversion Range'!$A$2:$A$35,0))-(('Legend Attributes'!F35-1)/19)*(INDEX('Conversion Range'!$D$2:$D$35,MATCH(F$1,'Conversion Range'!$A$2:$A$35,0))-INDEX('Conversion Range'!$C$2:$C$35,MATCH(F$1,'Conversion Range'!$A$2:$A$35,0))),INDEX('Conversion Range'!$C$2:$C$35,MATCH(F$1,'Conversion Range'!$A$2:$A$35,0))+(('Legend Attributes'!F35-1)/19)*(INDEX('Conversion Range'!$D$2:$D$35,MATCH(F$1,'Conversion Range'!$A$2:$A$35,0))-INDEX('Conversion Range'!$C$2:$C$35,MATCH(F$1,'Conversion Range'!$A$2:$A$35,0)))),3))</f>
        <v>2.1760000000000002</v>
      </c>
      <c r="G35">
        <f>IF('Legend Attributes'!G35=0,0,ROUND(IF(INDEX('Conversion Range'!$E$2:$E$35,MATCH(G$1,'Conversion Range'!$A$2:$A$35,0))=1,INDEX('Conversion Range'!$D$2:$D$35,MATCH(G$1,'Conversion Range'!$A$2:$A$35,0))-(('Legend Attributes'!G35-1)/19)*(INDEX('Conversion Range'!$D$2:$D$35,MATCH(G$1,'Conversion Range'!$A$2:$A$35,0))-INDEX('Conversion Range'!$C$2:$C$35,MATCH(G$1,'Conversion Range'!$A$2:$A$35,0))),INDEX('Conversion Range'!$C$2:$C$35,MATCH(G$1,'Conversion Range'!$A$2:$A$35,0))+(('Legend Attributes'!G35-1)/19)*(INDEX('Conversion Range'!$D$2:$D$35,MATCH(G$1,'Conversion Range'!$A$2:$A$35,0))-INDEX('Conversion Range'!$C$2:$C$35,MATCH(G$1,'Conversion Range'!$A$2:$A$35,0)))),3))</f>
        <v>1.248</v>
      </c>
      <c r="H35">
        <f>IF('Legend Attributes'!H35=0,0,ROUND(IF(INDEX('Conversion Range'!$E$2:$E$35,MATCH(H$1,'Conversion Range'!$A$2:$A$35,0))=1,INDEX('Conversion Range'!$D$2:$D$35,MATCH(H$1,'Conversion Range'!$A$2:$A$35,0))-(('Legend Attributes'!H35-1)/19)*(INDEX('Conversion Range'!$D$2:$D$35,MATCH(H$1,'Conversion Range'!$A$2:$A$35,0))-INDEX('Conversion Range'!$C$2:$C$35,MATCH(H$1,'Conversion Range'!$A$2:$A$35,0))),INDEX('Conversion Range'!$C$2:$C$35,MATCH(H$1,'Conversion Range'!$A$2:$A$35,0))+(('Legend Attributes'!H35-1)/19)*(INDEX('Conversion Range'!$D$2:$D$35,MATCH(H$1,'Conversion Range'!$A$2:$A$35,0))-INDEX('Conversion Range'!$C$2:$C$35,MATCH(H$1,'Conversion Range'!$A$2:$A$35,0)))),3))</f>
        <v>0.68400000000000005</v>
      </c>
      <c r="I35">
        <f>IF('Legend Attributes'!I35=0,0,ROUND(IF(INDEX('Conversion Range'!$E$2:$E$35,MATCH(I$1,'Conversion Range'!$A$2:$A$35,0))=1,INDEX('Conversion Range'!$D$2:$D$35,MATCH(I$1,'Conversion Range'!$A$2:$A$35,0))-(('Legend Attributes'!I35-1)/19)*(INDEX('Conversion Range'!$D$2:$D$35,MATCH(I$1,'Conversion Range'!$A$2:$A$35,0))-INDEX('Conversion Range'!$C$2:$C$35,MATCH(I$1,'Conversion Range'!$A$2:$A$35,0))),INDEX('Conversion Range'!$C$2:$C$35,MATCH(I$1,'Conversion Range'!$A$2:$A$35,0))+(('Legend Attributes'!I35-1)/19)*(INDEX('Conversion Range'!$D$2:$D$35,MATCH(I$1,'Conversion Range'!$A$2:$A$35,0))-INDEX('Conversion Range'!$C$2:$C$35,MATCH(I$1,'Conversion Range'!$A$2:$A$35,0)))),3))</f>
        <v>0.75800000000000001</v>
      </c>
      <c r="J35">
        <f>IF('Legend Attributes'!J35=0,0,ROUND(IF(INDEX('Conversion Range'!$E$2:$E$35,MATCH(J$1,'Conversion Range'!$A$2:$A$35,0))=1,INDEX('Conversion Range'!$D$2:$D$35,MATCH(J$1,'Conversion Range'!$A$2:$A$35,0))-(('Legend Attributes'!J35-1)/19)*(INDEX('Conversion Range'!$D$2:$D$35,MATCH(J$1,'Conversion Range'!$A$2:$A$35,0))-INDEX('Conversion Range'!$C$2:$C$35,MATCH(J$1,'Conversion Range'!$A$2:$A$35,0))),INDEX('Conversion Range'!$C$2:$C$35,MATCH(J$1,'Conversion Range'!$A$2:$A$35,0))+(('Legend Attributes'!J35-1)/19)*(INDEX('Conversion Range'!$D$2:$D$35,MATCH(J$1,'Conversion Range'!$A$2:$A$35,0))-INDEX('Conversion Range'!$C$2:$C$35,MATCH(J$1,'Conversion Range'!$A$2:$A$35,0)))),3))</f>
        <v>0.68899999999999995</v>
      </c>
      <c r="K35">
        <f>IF('Legend Attributes'!K35=0,0,ROUND(IF(INDEX('Conversion Range'!$E$2:$E$35,MATCH(K$1,'Conversion Range'!$A$2:$A$35,0))=1,INDEX('Conversion Range'!$D$2:$D$35,MATCH(K$1,'Conversion Range'!$A$2:$A$35,0))-(('Legend Attributes'!K35-1)/19)*(INDEX('Conversion Range'!$D$2:$D$35,MATCH(K$1,'Conversion Range'!$A$2:$A$35,0))-INDEX('Conversion Range'!$C$2:$C$35,MATCH(K$1,'Conversion Range'!$A$2:$A$35,0))),INDEX('Conversion Range'!$C$2:$C$35,MATCH(K$1,'Conversion Range'!$A$2:$A$35,0))+(('Legend Attributes'!K35-1)/19)*(INDEX('Conversion Range'!$D$2:$D$35,MATCH(K$1,'Conversion Range'!$A$2:$A$35,0))-INDEX('Conversion Range'!$C$2:$C$35,MATCH(K$1,'Conversion Range'!$A$2:$A$35,0)))),3))</f>
        <v>0.44700000000000001</v>
      </c>
      <c r="L35">
        <f>IF('Legend Attributes'!L35=0,0,ROUND(IF(INDEX('Conversion Range'!$E$2:$E$35,MATCH(L$1,'Conversion Range'!$A$2:$A$35,0))=1,INDEX('Conversion Range'!$D$2:$D$35,MATCH(L$1,'Conversion Range'!$A$2:$A$35,0))-(('Legend Attributes'!L35-1)/19)*(INDEX('Conversion Range'!$D$2:$D$35,MATCH(L$1,'Conversion Range'!$A$2:$A$35,0))-INDEX('Conversion Range'!$C$2:$C$35,MATCH(L$1,'Conversion Range'!$A$2:$A$35,0))),INDEX('Conversion Range'!$C$2:$C$35,MATCH(L$1,'Conversion Range'!$A$2:$A$35,0))+(('Legend Attributes'!L35-1)/19)*(INDEX('Conversion Range'!$D$2:$D$35,MATCH(L$1,'Conversion Range'!$A$2:$A$35,0))-INDEX('Conversion Range'!$C$2:$C$35,MATCH(L$1,'Conversion Range'!$A$2:$A$35,0)))),3))</f>
        <v>0.32600000000000001</v>
      </c>
      <c r="M35">
        <f>IF('Legend Attributes'!M35=0,0,ROUND(IF(INDEX('Conversion Range'!$E$2:$E$35,MATCH(M$1,'Conversion Range'!$A$2:$A$35,0))=1,INDEX('Conversion Range'!$D$2:$D$35,MATCH(M$1,'Conversion Range'!$A$2:$A$35,0))-(('Legend Attributes'!M35-1)/19)*(INDEX('Conversion Range'!$D$2:$D$35,MATCH(M$1,'Conversion Range'!$A$2:$A$35,0))-INDEX('Conversion Range'!$C$2:$C$35,MATCH(M$1,'Conversion Range'!$A$2:$A$35,0))),INDEX('Conversion Range'!$C$2:$C$35,MATCH(M$1,'Conversion Range'!$A$2:$A$35,0))+(('Legend Attributes'!M35-1)/19)*(INDEX('Conversion Range'!$D$2:$D$35,MATCH(M$1,'Conversion Range'!$A$2:$A$35,0))-INDEX('Conversion Range'!$C$2:$C$35,MATCH(M$1,'Conversion Range'!$A$2:$A$35,0)))),3))</f>
        <v>0.16800000000000001</v>
      </c>
      <c r="N35">
        <f>IF('Legend Attributes'!N35=0,0,ROUND(IF(INDEX('Conversion Range'!$E$2:$E$35,MATCH(N$1,'Conversion Range'!$A$2:$A$35,0))=1,INDEX('Conversion Range'!$D$2:$D$35,MATCH(N$1,'Conversion Range'!$A$2:$A$35,0))-(('Legend Attributes'!N35-1)/19)*(INDEX('Conversion Range'!$D$2:$D$35,MATCH(N$1,'Conversion Range'!$A$2:$A$35,0))-INDEX('Conversion Range'!$C$2:$C$35,MATCH(N$1,'Conversion Range'!$A$2:$A$35,0))),INDEX('Conversion Range'!$C$2:$C$35,MATCH(N$1,'Conversion Range'!$A$2:$A$35,0))+(('Legend Attributes'!N35-1)/19)*(INDEX('Conversion Range'!$D$2:$D$35,MATCH(N$1,'Conversion Range'!$A$2:$A$35,0))-INDEX('Conversion Range'!$C$2:$C$35,MATCH(N$1,'Conversion Range'!$A$2:$A$35,0)))),3))</f>
        <v>3.9740000000000002</v>
      </c>
      <c r="O35">
        <f>IF('Legend Attributes'!O35=0,0,ROUND(IF(INDEX('Conversion Range'!$E$2:$E$35,MATCH(O$1,'Conversion Range'!$A$2:$A$35,0))=1,INDEX('Conversion Range'!$D$2:$D$35,MATCH(O$1,'Conversion Range'!$A$2:$A$35,0))-(('Legend Attributes'!O35-1)/19)*(INDEX('Conversion Range'!$D$2:$D$35,MATCH(O$1,'Conversion Range'!$A$2:$A$35,0))-INDEX('Conversion Range'!$C$2:$C$35,MATCH(O$1,'Conversion Range'!$A$2:$A$35,0))),INDEX('Conversion Range'!$C$2:$C$35,MATCH(O$1,'Conversion Range'!$A$2:$A$35,0))+(('Legend Attributes'!O35-1)/19)*(INDEX('Conversion Range'!$D$2:$D$35,MATCH(O$1,'Conversion Range'!$A$2:$A$35,0))-INDEX('Conversion Range'!$C$2:$C$35,MATCH(O$1,'Conversion Range'!$A$2:$A$35,0)))),3))</f>
        <v>0.58899999999999997</v>
      </c>
      <c r="P35">
        <f>IF('Legend Attributes'!P35=0,0,ROUND(IF(INDEX('Conversion Range'!$E$2:$E$35,MATCH(P$1,'Conversion Range'!$A$2:$A$35,0))=1,INDEX('Conversion Range'!$D$2:$D$35,MATCH(P$1,'Conversion Range'!$A$2:$A$35,0))-(('Legend Attributes'!P35-1)/19)*(INDEX('Conversion Range'!$D$2:$D$35,MATCH(P$1,'Conversion Range'!$A$2:$A$35,0))-INDEX('Conversion Range'!$C$2:$C$35,MATCH(P$1,'Conversion Range'!$A$2:$A$35,0))),INDEX('Conversion Range'!$C$2:$C$35,MATCH(P$1,'Conversion Range'!$A$2:$A$35,0))+(('Legend Attributes'!P35-1)/19)*(INDEX('Conversion Range'!$D$2:$D$35,MATCH(P$1,'Conversion Range'!$A$2:$A$35,0))-INDEX('Conversion Range'!$C$2:$C$35,MATCH(P$1,'Conversion Range'!$A$2:$A$35,0)))),3))</f>
        <v>53.158000000000001</v>
      </c>
      <c r="Q35">
        <f>IF('Legend Attributes'!Q35=0,0,ROUND(IF(INDEX('Conversion Range'!$E$2:$E$35,MATCH(Q$1,'Conversion Range'!$A$2:$A$35,0))=1,INDEX('Conversion Range'!$D$2:$D$35,MATCH(Q$1,'Conversion Range'!$A$2:$A$35,0))-(('Legend Attributes'!Q35-1)/19)*(INDEX('Conversion Range'!$D$2:$D$35,MATCH(Q$1,'Conversion Range'!$A$2:$A$35,0))-INDEX('Conversion Range'!$C$2:$C$35,MATCH(Q$1,'Conversion Range'!$A$2:$A$35,0))),INDEX('Conversion Range'!$C$2:$C$35,MATCH(Q$1,'Conversion Range'!$A$2:$A$35,0))+(('Legend Attributes'!Q35-1)/19)*(INDEX('Conversion Range'!$D$2:$D$35,MATCH(Q$1,'Conversion Range'!$A$2:$A$35,0))-INDEX('Conversion Range'!$C$2:$C$35,MATCH(Q$1,'Conversion Range'!$A$2:$A$35,0)))),3))</f>
        <v>54.104999999999997</v>
      </c>
      <c r="R35">
        <f>IF('Legend Attributes'!R35=0,0,ROUND(IF(INDEX('Conversion Range'!$E$2:$E$35,MATCH(R$1,'Conversion Range'!$A$2:$A$35,0))=1,INDEX('Conversion Range'!$D$2:$D$35,MATCH(R$1,'Conversion Range'!$A$2:$A$35,0))-(('Legend Attributes'!R35-1)/19)*(INDEX('Conversion Range'!$D$2:$D$35,MATCH(R$1,'Conversion Range'!$A$2:$A$35,0))-INDEX('Conversion Range'!$C$2:$C$35,MATCH(R$1,'Conversion Range'!$A$2:$A$35,0))),INDEX('Conversion Range'!$C$2:$C$35,MATCH(R$1,'Conversion Range'!$A$2:$A$35,0))+(('Legend Attributes'!R35-1)/19)*(INDEX('Conversion Range'!$D$2:$D$35,MATCH(R$1,'Conversion Range'!$A$2:$A$35,0))-INDEX('Conversion Range'!$C$2:$C$35,MATCH(R$1,'Conversion Range'!$A$2:$A$35,0)))),3))</f>
        <v>80.263000000000005</v>
      </c>
      <c r="S35">
        <f>IF('Legend Attributes'!S35=0,0,ROUND(IF(INDEX('Conversion Range'!$E$2:$E$35,MATCH(S$1,'Conversion Range'!$A$2:$A$35,0))=1,INDEX('Conversion Range'!$D$2:$D$35,MATCH(S$1,'Conversion Range'!$A$2:$A$35,0))-(('Legend Attributes'!S35-1)/19)*(INDEX('Conversion Range'!$D$2:$D$35,MATCH(S$1,'Conversion Range'!$A$2:$A$35,0))-INDEX('Conversion Range'!$C$2:$C$35,MATCH(S$1,'Conversion Range'!$A$2:$A$35,0))),INDEX('Conversion Range'!$C$2:$C$35,MATCH(S$1,'Conversion Range'!$A$2:$A$35,0))+(('Legend Attributes'!S35-1)/19)*(INDEX('Conversion Range'!$D$2:$D$35,MATCH(S$1,'Conversion Range'!$A$2:$A$35,0))-INDEX('Conversion Range'!$C$2:$C$35,MATCH(S$1,'Conversion Range'!$A$2:$A$35,0)))),3))</f>
        <v>1.163</v>
      </c>
      <c r="T35">
        <f>IF('Legend Attributes'!T35=0,0,ROUND(IF(INDEX('Conversion Range'!$E$2:$E$35,MATCH(T$1,'Conversion Range'!$A$2:$A$35,0))=1,INDEX('Conversion Range'!$D$2:$D$35,MATCH(T$1,'Conversion Range'!$A$2:$A$35,0))-(('Legend Attributes'!T35-1)/19)*(INDEX('Conversion Range'!$D$2:$D$35,MATCH(T$1,'Conversion Range'!$A$2:$A$35,0))-INDEX('Conversion Range'!$C$2:$C$35,MATCH(T$1,'Conversion Range'!$A$2:$A$35,0))),INDEX('Conversion Range'!$C$2:$C$35,MATCH(T$1,'Conversion Range'!$A$2:$A$35,0))+(('Legend Attributes'!T35-1)/19)*(INDEX('Conversion Range'!$D$2:$D$35,MATCH(T$1,'Conversion Range'!$A$2:$A$35,0))-INDEX('Conversion Range'!$C$2:$C$35,MATCH(T$1,'Conversion Range'!$A$2:$A$35,0)))),3))</f>
        <v>36.316000000000003</v>
      </c>
      <c r="U35">
        <f>IF('Legend Attributes'!U35=0,0,ROUND(IF(INDEX('Conversion Range'!$E$2:$E$35,MATCH(U$1,'Conversion Range'!$A$2:$A$35,0))=1,INDEX('Conversion Range'!$D$2:$D$35,MATCH(U$1,'Conversion Range'!$A$2:$A$35,0))-(('Legend Attributes'!U35-1)/19)*(INDEX('Conversion Range'!$D$2:$D$35,MATCH(U$1,'Conversion Range'!$A$2:$A$35,0))-INDEX('Conversion Range'!$C$2:$C$35,MATCH(U$1,'Conversion Range'!$A$2:$A$35,0))),INDEX('Conversion Range'!$C$2:$C$35,MATCH(U$1,'Conversion Range'!$A$2:$A$35,0))+(('Legend Attributes'!U35-1)/19)*(INDEX('Conversion Range'!$D$2:$D$35,MATCH(U$1,'Conversion Range'!$A$2:$A$35,0))-INDEX('Conversion Range'!$C$2:$C$35,MATCH(U$1,'Conversion Range'!$A$2:$A$35,0)))),3))</f>
        <v>4.4050000000000002</v>
      </c>
      <c r="V35">
        <f>IF('Legend Attributes'!V35=0,0,ROUND(IF(INDEX('Conversion Range'!$E$2:$E$35,MATCH(V$1,'Conversion Range'!$A$2:$A$35,0))=1,INDEX('Conversion Range'!$D$2:$D$35,MATCH(V$1,'Conversion Range'!$A$2:$A$35,0))-(('Legend Attributes'!V35-1)/19)*(INDEX('Conversion Range'!$D$2:$D$35,MATCH(V$1,'Conversion Range'!$A$2:$A$35,0))-INDEX('Conversion Range'!$C$2:$C$35,MATCH(V$1,'Conversion Range'!$A$2:$A$35,0))),INDEX('Conversion Range'!$C$2:$C$35,MATCH(V$1,'Conversion Range'!$A$2:$A$35,0))+(('Legend Attributes'!V35-1)/19)*(INDEX('Conversion Range'!$D$2:$D$35,MATCH(V$1,'Conversion Range'!$A$2:$A$35,0))-INDEX('Conversion Range'!$C$2:$C$35,MATCH(V$1,'Conversion Range'!$A$2:$A$35,0)))),3))</f>
        <v>67.894999999999996</v>
      </c>
      <c r="W35">
        <f>IF('Legend Attributes'!W35=0,0,ROUND(IF(INDEX('Conversion Range'!$E$2:$E$35,MATCH(W$1,'Conversion Range'!$A$2:$A$35,0))=1,INDEX('Conversion Range'!$D$2:$D$35,MATCH(W$1,'Conversion Range'!$A$2:$A$35,0))-(('Legend Attributes'!W35-1)/19)*(INDEX('Conversion Range'!$D$2:$D$35,MATCH(W$1,'Conversion Range'!$A$2:$A$35,0))-INDEX('Conversion Range'!$C$2:$C$35,MATCH(W$1,'Conversion Range'!$A$2:$A$35,0))),INDEX('Conversion Range'!$C$2:$C$35,MATCH(W$1,'Conversion Range'!$A$2:$A$35,0))+(('Legend Attributes'!W35-1)/19)*(INDEX('Conversion Range'!$D$2:$D$35,MATCH(W$1,'Conversion Range'!$A$2:$A$35,0))-INDEX('Conversion Range'!$C$2:$C$35,MATCH(W$1,'Conversion Range'!$A$2:$A$35,0)))),3))</f>
        <v>0.13200000000000001</v>
      </c>
      <c r="X35">
        <f>IF('Legend Attributes'!X35=0,0,ROUND(IF(INDEX('Conversion Range'!$E$2:$E$35,MATCH(X$1,'Conversion Range'!$A$2:$A$35,0))=1,INDEX('Conversion Range'!$D$2:$D$35,MATCH(X$1,'Conversion Range'!$A$2:$A$35,0))-(('Legend Attributes'!X35-1)/19)*(INDEX('Conversion Range'!$D$2:$D$35,MATCH(X$1,'Conversion Range'!$A$2:$A$35,0))-INDEX('Conversion Range'!$C$2:$C$35,MATCH(X$1,'Conversion Range'!$A$2:$A$35,0))),INDEX('Conversion Range'!$C$2:$C$35,MATCH(X$1,'Conversion Range'!$A$2:$A$35,0))+(('Legend Attributes'!X35-1)/19)*(INDEX('Conversion Range'!$D$2:$D$35,MATCH(X$1,'Conversion Range'!$A$2:$A$35,0))-INDEX('Conversion Range'!$C$2:$C$35,MATCH(X$1,'Conversion Range'!$A$2:$A$35,0)))),3))</f>
        <v>0.28899999999999998</v>
      </c>
      <c r="Y35">
        <f>IF('Legend Attributes'!Y35=0,0,ROUND(IF(INDEX('Conversion Range'!$E$2:$E$35,MATCH(Y$1,'Conversion Range'!$A$2:$A$35,0))=1,INDEX('Conversion Range'!$D$2:$D$35,MATCH(Y$1,'Conversion Range'!$A$2:$A$35,0))-(('Legend Attributes'!Y35-1)/19)*(INDEX('Conversion Range'!$D$2:$D$35,MATCH(Y$1,'Conversion Range'!$A$2:$A$35,0))-INDEX('Conversion Range'!$C$2:$C$35,MATCH(Y$1,'Conversion Range'!$A$2:$A$35,0))),INDEX('Conversion Range'!$C$2:$C$35,MATCH(Y$1,'Conversion Range'!$A$2:$A$35,0))+(('Legend Attributes'!Y35-1)/19)*(INDEX('Conversion Range'!$D$2:$D$35,MATCH(Y$1,'Conversion Range'!$A$2:$A$35,0))-INDEX('Conversion Range'!$C$2:$C$35,MATCH(Y$1,'Conversion Range'!$A$2:$A$35,0)))),3))</f>
        <v>0.33200000000000002</v>
      </c>
      <c r="Z35">
        <f>IF('Legend Attributes'!Z35=0,0,ROUND(IF(INDEX('Conversion Range'!$E$2:$E$35,MATCH(Z$1,'Conversion Range'!$A$2:$A$35,0))=1,INDEX('Conversion Range'!$D$2:$D$35,MATCH(Z$1,'Conversion Range'!$A$2:$A$35,0))-(('Legend Attributes'!Z35-1)/19)*(INDEX('Conversion Range'!$D$2:$D$35,MATCH(Z$1,'Conversion Range'!$A$2:$A$35,0))-INDEX('Conversion Range'!$C$2:$C$35,MATCH(Z$1,'Conversion Range'!$A$2:$A$35,0))),INDEX('Conversion Range'!$C$2:$C$35,MATCH(Z$1,'Conversion Range'!$A$2:$A$35,0))+(('Legend Attributes'!Z35-1)/19)*(INDEX('Conversion Range'!$D$2:$D$35,MATCH(Z$1,'Conversion Range'!$A$2:$A$35,0))-INDEX('Conversion Range'!$C$2:$C$35,MATCH(Z$1,'Conversion Range'!$A$2:$A$35,0)))),3))</f>
        <v>8.7629999999999999</v>
      </c>
      <c r="AA35">
        <f>IF('Legend Attributes'!AA35=0,0,ROUND(IF(INDEX('Conversion Range'!$E$2:$E$35,MATCH(AA$1,'Conversion Range'!$A$2:$A$35,0))=1,INDEX('Conversion Range'!$D$2:$D$35,MATCH(AA$1,'Conversion Range'!$A$2:$A$35,0))-(('Legend Attributes'!AA35-1)/19)*(INDEX('Conversion Range'!$D$2:$D$35,MATCH(AA$1,'Conversion Range'!$A$2:$A$35,0))-INDEX('Conversion Range'!$C$2:$C$35,MATCH(AA$1,'Conversion Range'!$A$2:$A$35,0))),INDEX('Conversion Range'!$C$2:$C$35,MATCH(AA$1,'Conversion Range'!$A$2:$A$35,0))+(('Legend Attributes'!AA35-1)/19)*(INDEX('Conversion Range'!$D$2:$D$35,MATCH(AA$1,'Conversion Range'!$A$2:$A$35,0))-INDEX('Conversion Range'!$C$2:$C$35,MATCH(AA$1,'Conversion Range'!$A$2:$A$35,0)))),3))</f>
        <v>9.1999999999999998E-2</v>
      </c>
      <c r="AB35">
        <f>IF('Legend Attributes'!AB35=0,0,ROUND(IF(INDEX('Conversion Range'!$E$2:$E$35,MATCH(AB$1,'Conversion Range'!$A$2:$A$35,0))=1,INDEX('Conversion Range'!$D$2:$D$35,MATCH(AB$1,'Conversion Range'!$A$2:$A$35,0))-(('Legend Attributes'!AB35-1)/19)*(INDEX('Conversion Range'!$D$2:$D$35,MATCH(AB$1,'Conversion Range'!$A$2:$A$35,0))-INDEX('Conversion Range'!$C$2:$C$35,MATCH(AB$1,'Conversion Range'!$A$2:$A$35,0))),INDEX('Conversion Range'!$C$2:$C$35,MATCH(AB$1,'Conversion Range'!$A$2:$A$35,0))+(('Legend Attributes'!AB35-1)/19)*(INDEX('Conversion Range'!$D$2:$D$35,MATCH(AB$1,'Conversion Range'!$A$2:$A$35,0))-INDEX('Conversion Range'!$C$2:$C$35,MATCH(AB$1,'Conversion Range'!$A$2:$A$35,0)))),3))</f>
        <v>0.52400000000000002</v>
      </c>
      <c r="AC35">
        <f>IF('Legend Attributes'!AC35=0,0,ROUND(IF(INDEX('Conversion Range'!$E$2:$E$35,MATCH(AC$1,'Conversion Range'!$A$2:$A$35,0))=1,INDEX('Conversion Range'!$D$2:$D$35,MATCH(AC$1,'Conversion Range'!$A$2:$A$35,0))-(('Legend Attributes'!AC35-1)/19)*(INDEX('Conversion Range'!$D$2:$D$35,MATCH(AC$1,'Conversion Range'!$A$2:$A$35,0))-INDEX('Conversion Range'!$C$2:$C$35,MATCH(AC$1,'Conversion Range'!$A$2:$A$35,0))),INDEX('Conversion Range'!$C$2:$C$35,MATCH(AC$1,'Conversion Range'!$A$2:$A$35,0))+(('Legend Attributes'!AC35-1)/19)*(INDEX('Conversion Range'!$D$2:$D$35,MATCH(AC$1,'Conversion Range'!$A$2:$A$35,0))-INDEX('Conversion Range'!$C$2:$C$35,MATCH(AC$1,'Conversion Range'!$A$2:$A$35,0)))),3))</f>
        <v>0.249</v>
      </c>
      <c r="AD35">
        <f>IF('Legend Attributes'!AD35=0,0,ROUND(IF(INDEX('Conversion Range'!$E$2:$E$35,MATCH(AD$1,'Conversion Range'!$A$2:$A$35,0))=1,INDEX('Conversion Range'!$D$2:$D$35,MATCH(AD$1,'Conversion Range'!$A$2:$A$35,0))-(('Legend Attributes'!AD35-1)/19)*(INDEX('Conversion Range'!$D$2:$D$35,MATCH(AD$1,'Conversion Range'!$A$2:$A$35,0))-INDEX('Conversion Range'!$C$2:$C$35,MATCH(AD$1,'Conversion Range'!$A$2:$A$35,0))),INDEX('Conversion Range'!$C$2:$C$35,MATCH(AD$1,'Conversion Range'!$A$2:$A$35,0))+(('Legend Attributes'!AD35-1)/19)*(INDEX('Conversion Range'!$D$2:$D$35,MATCH(AD$1,'Conversion Range'!$A$2:$A$35,0))-INDEX('Conversion Range'!$C$2:$C$35,MATCH(AD$1,'Conversion Range'!$A$2:$A$35,0)))),3))</f>
        <v>0</v>
      </c>
      <c r="AE35">
        <f>IF('Legend Attributes'!AE35=0,0,ROUND(IF(INDEX('Conversion Range'!$E$2:$E$35,MATCH(AE$1,'Conversion Range'!$A$2:$A$35,0))=1,INDEX('Conversion Range'!$D$2:$D$35,MATCH(AE$1,'Conversion Range'!$A$2:$A$35,0))-(('Legend Attributes'!AE35-1)/19)*(INDEX('Conversion Range'!$D$2:$D$35,MATCH(AE$1,'Conversion Range'!$A$2:$A$35,0))-INDEX('Conversion Range'!$C$2:$C$35,MATCH(AE$1,'Conversion Range'!$A$2:$A$35,0))),INDEX('Conversion Range'!$C$2:$C$35,MATCH(AE$1,'Conversion Range'!$A$2:$A$35,0))+(('Legend Attributes'!AE35-1)/19)*(INDEX('Conversion Range'!$D$2:$D$35,MATCH(AE$1,'Conversion Range'!$A$2:$A$35,0))-INDEX('Conversion Range'!$C$2:$C$35,MATCH(AE$1,'Conversion Range'!$A$2:$A$35,0)))),3))</f>
        <v>0</v>
      </c>
      <c r="AF35">
        <f>IF('Legend Attributes'!AF35=0,0,ROUND(IF(INDEX('Conversion Range'!$E$2:$E$35,MATCH(AF$1,'Conversion Range'!$A$2:$A$35,0))=1,INDEX('Conversion Range'!$D$2:$D$35,MATCH(AF$1,'Conversion Range'!$A$2:$A$35,0))-(('Legend Attributes'!AF35-1)/19)*(INDEX('Conversion Range'!$D$2:$D$35,MATCH(AF$1,'Conversion Range'!$A$2:$A$35,0))-INDEX('Conversion Range'!$C$2:$C$35,MATCH(AF$1,'Conversion Range'!$A$2:$A$35,0))),INDEX('Conversion Range'!$C$2:$C$35,MATCH(AF$1,'Conversion Range'!$A$2:$A$35,0))+(('Legend Attributes'!AF35-1)/19)*(INDEX('Conversion Range'!$D$2:$D$35,MATCH(AF$1,'Conversion Range'!$A$2:$A$35,0))-INDEX('Conversion Range'!$C$2:$C$35,MATCH(AF$1,'Conversion Range'!$A$2:$A$35,0)))),3))</f>
        <v>0</v>
      </c>
      <c r="AG35">
        <f>IF('Legend Attributes'!AG35=0,0,ROUND(IF(INDEX('Conversion Range'!$E$2:$E$35,MATCH(AG$1,'Conversion Range'!$A$2:$A$35,0))=1,INDEX('Conversion Range'!$D$2:$D$35,MATCH(AG$1,'Conversion Range'!$A$2:$A$35,0))-(('Legend Attributes'!AG35-1)/19)*(INDEX('Conversion Range'!$D$2:$D$35,MATCH(AG$1,'Conversion Range'!$A$2:$A$35,0))-INDEX('Conversion Range'!$C$2:$C$35,MATCH(AG$1,'Conversion Range'!$A$2:$A$35,0))),INDEX('Conversion Range'!$C$2:$C$35,MATCH(AG$1,'Conversion Range'!$A$2:$A$35,0))+(('Legend Attributes'!AG35-1)/19)*(INDEX('Conversion Range'!$D$2:$D$35,MATCH(AG$1,'Conversion Range'!$A$2:$A$35,0))-INDEX('Conversion Range'!$C$2:$C$35,MATCH(AG$1,'Conversion Range'!$A$2:$A$35,0)))),3))</f>
        <v>1.1319999999999999</v>
      </c>
      <c r="AH35">
        <f>IF('Legend Attributes'!AH35=0,0,ROUND(IF(INDEX('Conversion Range'!$E$2:$E$35,MATCH(AH$1,'Conversion Range'!$A$2:$A$35,0))=1,INDEX('Conversion Range'!$D$2:$D$35,MATCH(AH$1,'Conversion Range'!$A$2:$A$35,0))-(('Legend Attributes'!AH35-1)/19)*(INDEX('Conversion Range'!$D$2:$D$35,MATCH(AH$1,'Conversion Range'!$A$2:$A$35,0))-INDEX('Conversion Range'!$C$2:$C$35,MATCH(AH$1,'Conversion Range'!$A$2:$A$35,0))),INDEX('Conversion Range'!$C$2:$C$35,MATCH(AH$1,'Conversion Range'!$A$2:$A$35,0))+(('Legend Attributes'!AH35-1)/19)*(INDEX('Conversion Range'!$D$2:$D$35,MATCH(AH$1,'Conversion Range'!$A$2:$A$35,0))-INDEX('Conversion Range'!$C$2:$C$35,MATCH(AH$1,'Conversion Range'!$A$2:$A$35,0)))),3))</f>
        <v>0.17799999999999999</v>
      </c>
      <c r="AI35">
        <f>IF('Legend Attributes'!AI35=0,0,ROUND(IF(INDEX('Conversion Range'!$E$2:$E$35,MATCH(AI$1,'Conversion Range'!$A$2:$A$35,0))=1,INDEX('Conversion Range'!$D$2:$D$35,MATCH(AI$1,'Conversion Range'!$A$2:$A$35,0))-(('Legend Attributes'!AI35-1)/19)*(INDEX('Conversion Range'!$D$2:$D$35,MATCH(AI$1,'Conversion Range'!$A$2:$A$35,0))-INDEX('Conversion Range'!$C$2:$C$35,MATCH(AI$1,'Conversion Range'!$A$2:$A$35,0))),INDEX('Conversion Range'!$C$2:$C$35,MATCH(AI$1,'Conversion Range'!$A$2:$A$35,0))+(('Legend Attributes'!AI35-1)/19)*(INDEX('Conversion Range'!$D$2:$D$35,MATCH(AI$1,'Conversion Range'!$A$2:$A$35,0))-INDEX('Conversion Range'!$C$2:$C$35,MATCH(AI$1,'Conversion Range'!$A$2:$A$35,0)))),3))</f>
        <v>4.3999999999999997E-2</v>
      </c>
      <c r="AJ35">
        <f>IF('Legend Attributes'!AJ35=0,0,ROUND(IF(INDEX('Conversion Range'!$E$2:$E$35,MATCH(AJ$1,'Conversion Range'!$A$2:$A$35,0))=1,INDEX('Conversion Range'!$D$2:$D$35,MATCH(AJ$1,'Conversion Range'!$A$2:$A$35,0))-(('Legend Attributes'!AJ35-1)/19)*(INDEX('Conversion Range'!$D$2:$D$35,MATCH(AJ$1,'Conversion Range'!$A$2:$A$35,0))-INDEX('Conversion Range'!$C$2:$C$35,MATCH(AJ$1,'Conversion Range'!$A$2:$A$35,0))),INDEX('Conversion Range'!$C$2:$C$35,MATCH(AJ$1,'Conversion Range'!$A$2:$A$35,0))+(('Legend Attributes'!AJ35-1)/19)*(INDEX('Conversion Range'!$D$2:$D$35,MATCH(AJ$1,'Conversion Range'!$A$2:$A$35,0))-INDEX('Conversion Range'!$C$2:$C$35,MATCH(AJ$1,'Conversion Range'!$A$2:$A$35,0)))),3))</f>
        <v>7.726</v>
      </c>
    </row>
    <row r="36" spans="1:36" x14ac:dyDescent="0.35">
      <c r="A36" t="str">
        <f>'Legend Attributes'!A36</f>
        <v>Robert Pirès</v>
      </c>
      <c r="B36" t="str">
        <f>'Legend Attributes'!B36</f>
        <v>W</v>
      </c>
      <c r="C36">
        <f>IF('Legend Attributes'!C36=0,0,ROUND(IF(INDEX('Conversion Range'!$E$2:$E$35,MATCH(C$1,'Conversion Range'!$A$2:$A$35,0))=1,INDEX('Conversion Range'!$D$2:$D$35,MATCH(C$1,'Conversion Range'!$A$2:$A$35,0))-(('Legend Attributes'!C36-1)/19)*(INDEX('Conversion Range'!$D$2:$D$35,MATCH(C$1,'Conversion Range'!$A$2:$A$35,0))-INDEX('Conversion Range'!$C$2:$C$35,MATCH(C$1,'Conversion Range'!$A$2:$A$35,0))),INDEX('Conversion Range'!$C$2:$C$35,MATCH(C$1,'Conversion Range'!$A$2:$A$35,0))+(('Legend Attributes'!C36-1)/19)*(INDEX('Conversion Range'!$D$2:$D$35,MATCH(C$1,'Conversion Range'!$A$2:$A$35,0))-INDEX('Conversion Range'!$C$2:$C$35,MATCH(C$1,'Conversion Range'!$A$2:$A$35,0)))),3))</f>
        <v>0.45700000000000002</v>
      </c>
      <c r="D36">
        <f>IF('Legend Attributes'!D36=0,0,ROUND(IF(INDEX('Conversion Range'!$E$2:$E$35,MATCH(D$1,'Conversion Range'!$A$2:$A$35,0))=1,INDEX('Conversion Range'!$D$2:$D$35,MATCH(D$1,'Conversion Range'!$A$2:$A$35,0))-(('Legend Attributes'!D36-1)/19)*(INDEX('Conversion Range'!$D$2:$D$35,MATCH(D$1,'Conversion Range'!$A$2:$A$35,0))-INDEX('Conversion Range'!$C$2:$C$35,MATCH(D$1,'Conversion Range'!$A$2:$A$35,0))),INDEX('Conversion Range'!$C$2:$C$35,MATCH(D$1,'Conversion Range'!$A$2:$A$35,0))+(('Legend Attributes'!D36-1)/19)*(INDEX('Conversion Range'!$D$2:$D$35,MATCH(D$1,'Conversion Range'!$A$2:$A$35,0))-INDEX('Conversion Range'!$C$2:$C$35,MATCH(D$1,'Conversion Range'!$A$2:$A$35,0)))),3))</f>
        <v>0.40400000000000003</v>
      </c>
      <c r="E36">
        <f>IF('Legend Attributes'!E36=0,0,ROUND(IF(INDEX('Conversion Range'!$E$2:$E$35,MATCH(E$1,'Conversion Range'!$A$2:$A$35,0))=1,INDEX('Conversion Range'!$D$2:$D$35,MATCH(E$1,'Conversion Range'!$A$2:$A$35,0))-(('Legend Attributes'!E36-1)/19)*(INDEX('Conversion Range'!$D$2:$D$35,MATCH(E$1,'Conversion Range'!$A$2:$A$35,0))-INDEX('Conversion Range'!$C$2:$C$35,MATCH(E$1,'Conversion Range'!$A$2:$A$35,0))),INDEX('Conversion Range'!$C$2:$C$35,MATCH(E$1,'Conversion Range'!$A$2:$A$35,0))+(('Legend Attributes'!E36-1)/19)*(INDEX('Conversion Range'!$D$2:$D$35,MATCH(E$1,'Conversion Range'!$A$2:$A$35,0))-INDEX('Conversion Range'!$C$2:$C$35,MATCH(E$1,'Conversion Range'!$A$2:$A$35,0)))),3))</f>
        <v>0.40799999999999997</v>
      </c>
      <c r="F36">
        <f>IF('Legend Attributes'!F36=0,0,ROUND(IF(INDEX('Conversion Range'!$E$2:$E$35,MATCH(F$1,'Conversion Range'!$A$2:$A$35,0))=1,INDEX('Conversion Range'!$D$2:$D$35,MATCH(F$1,'Conversion Range'!$A$2:$A$35,0))-(('Legend Attributes'!F36-1)/19)*(INDEX('Conversion Range'!$D$2:$D$35,MATCH(F$1,'Conversion Range'!$A$2:$A$35,0))-INDEX('Conversion Range'!$C$2:$C$35,MATCH(F$1,'Conversion Range'!$A$2:$A$35,0))),INDEX('Conversion Range'!$C$2:$C$35,MATCH(F$1,'Conversion Range'!$A$2:$A$35,0))+(('Legend Attributes'!F36-1)/19)*(INDEX('Conversion Range'!$D$2:$D$35,MATCH(F$1,'Conversion Range'!$A$2:$A$35,0))-INDEX('Conversion Range'!$C$2:$C$35,MATCH(F$1,'Conversion Range'!$A$2:$A$35,0)))),3))</f>
        <v>1.974</v>
      </c>
      <c r="G36">
        <f>IF('Legend Attributes'!G36=0,0,ROUND(IF(INDEX('Conversion Range'!$E$2:$E$35,MATCH(G$1,'Conversion Range'!$A$2:$A$35,0))=1,INDEX('Conversion Range'!$D$2:$D$35,MATCH(G$1,'Conversion Range'!$A$2:$A$35,0))-(('Legend Attributes'!G36-1)/19)*(INDEX('Conversion Range'!$D$2:$D$35,MATCH(G$1,'Conversion Range'!$A$2:$A$35,0))-INDEX('Conversion Range'!$C$2:$C$35,MATCH(G$1,'Conversion Range'!$A$2:$A$35,0))),INDEX('Conversion Range'!$C$2:$C$35,MATCH(G$1,'Conversion Range'!$A$2:$A$35,0))+(('Legend Attributes'!G36-1)/19)*(INDEX('Conversion Range'!$D$2:$D$35,MATCH(G$1,'Conversion Range'!$A$2:$A$35,0))-INDEX('Conversion Range'!$C$2:$C$35,MATCH(G$1,'Conversion Range'!$A$2:$A$35,0)))),3))</f>
        <v>1.1319999999999999</v>
      </c>
      <c r="H36">
        <f>IF('Legend Attributes'!H36=0,0,ROUND(IF(INDEX('Conversion Range'!$E$2:$E$35,MATCH(H$1,'Conversion Range'!$A$2:$A$35,0))=1,INDEX('Conversion Range'!$D$2:$D$35,MATCH(H$1,'Conversion Range'!$A$2:$A$35,0))-(('Legend Attributes'!H36-1)/19)*(INDEX('Conversion Range'!$D$2:$D$35,MATCH(H$1,'Conversion Range'!$A$2:$A$35,0))-INDEX('Conversion Range'!$C$2:$C$35,MATCH(H$1,'Conversion Range'!$A$2:$A$35,0))),INDEX('Conversion Range'!$C$2:$C$35,MATCH(H$1,'Conversion Range'!$A$2:$A$35,0))+(('Legend Attributes'!H36-1)/19)*(INDEX('Conversion Range'!$D$2:$D$35,MATCH(H$1,'Conversion Range'!$A$2:$A$35,0))-INDEX('Conversion Range'!$C$2:$C$35,MATCH(H$1,'Conversion Range'!$A$2:$A$35,0)))),3))</f>
        <v>0.316</v>
      </c>
      <c r="I36">
        <f>IF('Legend Attributes'!I36=0,0,ROUND(IF(INDEX('Conversion Range'!$E$2:$E$35,MATCH(I$1,'Conversion Range'!$A$2:$A$35,0))=1,INDEX('Conversion Range'!$D$2:$D$35,MATCH(I$1,'Conversion Range'!$A$2:$A$35,0))-(('Legend Attributes'!I36-1)/19)*(INDEX('Conversion Range'!$D$2:$D$35,MATCH(I$1,'Conversion Range'!$A$2:$A$35,0))-INDEX('Conversion Range'!$C$2:$C$35,MATCH(I$1,'Conversion Range'!$A$2:$A$35,0))),INDEX('Conversion Range'!$C$2:$C$35,MATCH(I$1,'Conversion Range'!$A$2:$A$35,0))+(('Legend Attributes'!I36-1)/19)*(INDEX('Conversion Range'!$D$2:$D$35,MATCH(I$1,'Conversion Range'!$A$2:$A$35,0))-INDEX('Conversion Range'!$C$2:$C$35,MATCH(I$1,'Conversion Range'!$A$2:$A$35,0)))),3))</f>
        <v>1.8109999999999999</v>
      </c>
      <c r="J36">
        <f>IF('Legend Attributes'!J36=0,0,ROUND(IF(INDEX('Conversion Range'!$E$2:$E$35,MATCH(J$1,'Conversion Range'!$A$2:$A$35,0))=1,INDEX('Conversion Range'!$D$2:$D$35,MATCH(J$1,'Conversion Range'!$A$2:$A$35,0))-(('Legend Attributes'!J36-1)/19)*(INDEX('Conversion Range'!$D$2:$D$35,MATCH(J$1,'Conversion Range'!$A$2:$A$35,0))-INDEX('Conversion Range'!$C$2:$C$35,MATCH(J$1,'Conversion Range'!$A$2:$A$35,0))),INDEX('Conversion Range'!$C$2:$C$35,MATCH(J$1,'Conversion Range'!$A$2:$A$35,0))+(('Legend Attributes'!J36-1)/19)*(INDEX('Conversion Range'!$D$2:$D$35,MATCH(J$1,'Conversion Range'!$A$2:$A$35,0))-INDEX('Conversion Range'!$C$2:$C$35,MATCH(J$1,'Conversion Range'!$A$2:$A$35,0)))),3))</f>
        <v>1.179</v>
      </c>
      <c r="K36">
        <f>IF('Legend Attributes'!K36=0,0,ROUND(IF(INDEX('Conversion Range'!$E$2:$E$35,MATCH(K$1,'Conversion Range'!$A$2:$A$35,0))=1,INDEX('Conversion Range'!$D$2:$D$35,MATCH(K$1,'Conversion Range'!$A$2:$A$35,0))-(('Legend Attributes'!K36-1)/19)*(INDEX('Conversion Range'!$D$2:$D$35,MATCH(K$1,'Conversion Range'!$A$2:$A$35,0))-INDEX('Conversion Range'!$C$2:$C$35,MATCH(K$1,'Conversion Range'!$A$2:$A$35,0))),INDEX('Conversion Range'!$C$2:$C$35,MATCH(K$1,'Conversion Range'!$A$2:$A$35,0))+(('Legend Attributes'!K36-1)/19)*(INDEX('Conversion Range'!$D$2:$D$35,MATCH(K$1,'Conversion Range'!$A$2:$A$35,0))-INDEX('Conversion Range'!$C$2:$C$35,MATCH(K$1,'Conversion Range'!$A$2:$A$35,0)))),3))</f>
        <v>0.67900000000000005</v>
      </c>
      <c r="L36">
        <f>IF('Legend Attributes'!L36=0,0,ROUND(IF(INDEX('Conversion Range'!$E$2:$E$35,MATCH(L$1,'Conversion Range'!$A$2:$A$35,0))=1,INDEX('Conversion Range'!$D$2:$D$35,MATCH(L$1,'Conversion Range'!$A$2:$A$35,0))-(('Legend Attributes'!L36-1)/19)*(INDEX('Conversion Range'!$D$2:$D$35,MATCH(L$1,'Conversion Range'!$A$2:$A$35,0))-INDEX('Conversion Range'!$C$2:$C$35,MATCH(L$1,'Conversion Range'!$A$2:$A$35,0))),INDEX('Conversion Range'!$C$2:$C$35,MATCH(L$1,'Conversion Range'!$A$2:$A$35,0))+(('Legend Attributes'!L36-1)/19)*(INDEX('Conversion Range'!$D$2:$D$35,MATCH(L$1,'Conversion Range'!$A$2:$A$35,0))-INDEX('Conversion Range'!$C$2:$C$35,MATCH(L$1,'Conversion Range'!$A$2:$A$35,0)))),3))</f>
        <v>0.32600000000000001</v>
      </c>
      <c r="M36">
        <f>IF('Legend Attributes'!M36=0,0,ROUND(IF(INDEX('Conversion Range'!$E$2:$E$35,MATCH(M$1,'Conversion Range'!$A$2:$A$35,0))=1,INDEX('Conversion Range'!$D$2:$D$35,MATCH(M$1,'Conversion Range'!$A$2:$A$35,0))-(('Legend Attributes'!M36-1)/19)*(INDEX('Conversion Range'!$D$2:$D$35,MATCH(M$1,'Conversion Range'!$A$2:$A$35,0))-INDEX('Conversion Range'!$C$2:$C$35,MATCH(M$1,'Conversion Range'!$A$2:$A$35,0))),INDEX('Conversion Range'!$C$2:$C$35,MATCH(M$1,'Conversion Range'!$A$2:$A$35,0))+(('Legend Attributes'!M36-1)/19)*(INDEX('Conversion Range'!$D$2:$D$35,MATCH(M$1,'Conversion Range'!$A$2:$A$35,0))-INDEX('Conversion Range'!$C$2:$C$35,MATCH(M$1,'Conversion Range'!$A$2:$A$35,0)))),3))</f>
        <v>0.16800000000000001</v>
      </c>
      <c r="N36">
        <f>IF('Legend Attributes'!N36=0,0,ROUND(IF(INDEX('Conversion Range'!$E$2:$E$35,MATCH(N$1,'Conversion Range'!$A$2:$A$35,0))=1,INDEX('Conversion Range'!$D$2:$D$35,MATCH(N$1,'Conversion Range'!$A$2:$A$35,0))-(('Legend Attributes'!N36-1)/19)*(INDEX('Conversion Range'!$D$2:$D$35,MATCH(N$1,'Conversion Range'!$A$2:$A$35,0))-INDEX('Conversion Range'!$C$2:$C$35,MATCH(N$1,'Conversion Range'!$A$2:$A$35,0))),INDEX('Conversion Range'!$C$2:$C$35,MATCH(N$1,'Conversion Range'!$A$2:$A$35,0))+(('Legend Attributes'!N36-1)/19)*(INDEX('Conversion Range'!$D$2:$D$35,MATCH(N$1,'Conversion Range'!$A$2:$A$35,0))-INDEX('Conversion Range'!$C$2:$C$35,MATCH(N$1,'Conversion Range'!$A$2:$A$35,0)))),3))</f>
        <v>4.7629999999999999</v>
      </c>
      <c r="O36">
        <f>IF('Legend Attributes'!O36=0,0,ROUND(IF(INDEX('Conversion Range'!$E$2:$E$35,MATCH(O$1,'Conversion Range'!$A$2:$A$35,0))=1,INDEX('Conversion Range'!$D$2:$D$35,MATCH(O$1,'Conversion Range'!$A$2:$A$35,0))-(('Legend Attributes'!O36-1)/19)*(INDEX('Conversion Range'!$D$2:$D$35,MATCH(O$1,'Conversion Range'!$A$2:$A$35,0))-INDEX('Conversion Range'!$C$2:$C$35,MATCH(O$1,'Conversion Range'!$A$2:$A$35,0))),INDEX('Conversion Range'!$C$2:$C$35,MATCH(O$1,'Conversion Range'!$A$2:$A$35,0))+(('Legend Attributes'!O36-1)/19)*(INDEX('Conversion Range'!$D$2:$D$35,MATCH(O$1,'Conversion Range'!$A$2:$A$35,0))-INDEX('Conversion Range'!$C$2:$C$35,MATCH(O$1,'Conversion Range'!$A$2:$A$35,0)))),3))</f>
        <v>2.2210000000000001</v>
      </c>
      <c r="P36">
        <f>IF('Legend Attributes'!P36=0,0,ROUND(IF(INDEX('Conversion Range'!$E$2:$E$35,MATCH(P$1,'Conversion Range'!$A$2:$A$35,0))=1,INDEX('Conversion Range'!$D$2:$D$35,MATCH(P$1,'Conversion Range'!$A$2:$A$35,0))-(('Legend Attributes'!P36-1)/19)*(INDEX('Conversion Range'!$D$2:$D$35,MATCH(P$1,'Conversion Range'!$A$2:$A$35,0))-INDEX('Conversion Range'!$C$2:$C$35,MATCH(P$1,'Conversion Range'!$A$2:$A$35,0))),INDEX('Conversion Range'!$C$2:$C$35,MATCH(P$1,'Conversion Range'!$A$2:$A$35,0))+(('Legend Attributes'!P36-1)/19)*(INDEX('Conversion Range'!$D$2:$D$35,MATCH(P$1,'Conversion Range'!$A$2:$A$35,0))-INDEX('Conversion Range'!$C$2:$C$35,MATCH(P$1,'Conversion Range'!$A$2:$A$35,0)))),3))</f>
        <v>73.421000000000006</v>
      </c>
      <c r="Q36">
        <f>IF('Legend Attributes'!Q36=0,0,ROUND(IF(INDEX('Conversion Range'!$E$2:$E$35,MATCH(Q$1,'Conversion Range'!$A$2:$A$35,0))=1,INDEX('Conversion Range'!$D$2:$D$35,MATCH(Q$1,'Conversion Range'!$A$2:$A$35,0))-(('Legend Attributes'!Q36-1)/19)*(INDEX('Conversion Range'!$D$2:$D$35,MATCH(Q$1,'Conversion Range'!$A$2:$A$35,0))-INDEX('Conversion Range'!$C$2:$C$35,MATCH(Q$1,'Conversion Range'!$A$2:$A$35,0))),INDEX('Conversion Range'!$C$2:$C$35,MATCH(Q$1,'Conversion Range'!$A$2:$A$35,0))+(('Legend Attributes'!Q36-1)/19)*(INDEX('Conversion Range'!$D$2:$D$35,MATCH(Q$1,'Conversion Range'!$A$2:$A$35,0))-INDEX('Conversion Range'!$C$2:$C$35,MATCH(Q$1,'Conversion Range'!$A$2:$A$35,0)))),3))</f>
        <v>47.158000000000001</v>
      </c>
      <c r="R36">
        <f>IF('Legend Attributes'!R36=0,0,ROUND(IF(INDEX('Conversion Range'!$E$2:$E$35,MATCH(R$1,'Conversion Range'!$A$2:$A$35,0))=1,INDEX('Conversion Range'!$D$2:$D$35,MATCH(R$1,'Conversion Range'!$A$2:$A$35,0))-(('Legend Attributes'!R36-1)/19)*(INDEX('Conversion Range'!$D$2:$D$35,MATCH(R$1,'Conversion Range'!$A$2:$A$35,0))-INDEX('Conversion Range'!$C$2:$C$35,MATCH(R$1,'Conversion Range'!$A$2:$A$35,0))),INDEX('Conversion Range'!$C$2:$C$35,MATCH(R$1,'Conversion Range'!$A$2:$A$35,0))+(('Legend Attributes'!R36-1)/19)*(INDEX('Conversion Range'!$D$2:$D$35,MATCH(R$1,'Conversion Range'!$A$2:$A$35,0))-INDEX('Conversion Range'!$C$2:$C$35,MATCH(R$1,'Conversion Range'!$A$2:$A$35,0)))),3))</f>
        <v>82.367999999999995</v>
      </c>
      <c r="S36">
        <f>IF('Legend Attributes'!S36=0,0,ROUND(IF(INDEX('Conversion Range'!$E$2:$E$35,MATCH(S$1,'Conversion Range'!$A$2:$A$35,0))=1,INDEX('Conversion Range'!$D$2:$D$35,MATCH(S$1,'Conversion Range'!$A$2:$A$35,0))-(('Legend Attributes'!S36-1)/19)*(INDEX('Conversion Range'!$D$2:$D$35,MATCH(S$1,'Conversion Range'!$A$2:$A$35,0))-INDEX('Conversion Range'!$C$2:$C$35,MATCH(S$1,'Conversion Range'!$A$2:$A$35,0))),INDEX('Conversion Range'!$C$2:$C$35,MATCH(S$1,'Conversion Range'!$A$2:$A$35,0))+(('Legend Attributes'!S36-1)/19)*(INDEX('Conversion Range'!$D$2:$D$35,MATCH(S$1,'Conversion Range'!$A$2:$A$35,0))-INDEX('Conversion Range'!$C$2:$C$35,MATCH(S$1,'Conversion Range'!$A$2:$A$35,0)))),3))</f>
        <v>1.595</v>
      </c>
      <c r="T36">
        <f>IF('Legend Attributes'!T36=0,0,ROUND(IF(INDEX('Conversion Range'!$E$2:$E$35,MATCH(T$1,'Conversion Range'!$A$2:$A$35,0))=1,INDEX('Conversion Range'!$D$2:$D$35,MATCH(T$1,'Conversion Range'!$A$2:$A$35,0))-(('Legend Attributes'!T36-1)/19)*(INDEX('Conversion Range'!$D$2:$D$35,MATCH(T$1,'Conversion Range'!$A$2:$A$35,0))-INDEX('Conversion Range'!$C$2:$C$35,MATCH(T$1,'Conversion Range'!$A$2:$A$35,0))),INDEX('Conversion Range'!$C$2:$C$35,MATCH(T$1,'Conversion Range'!$A$2:$A$35,0))+(('Legend Attributes'!T36-1)/19)*(INDEX('Conversion Range'!$D$2:$D$35,MATCH(T$1,'Conversion Range'!$A$2:$A$35,0))-INDEX('Conversion Range'!$C$2:$C$35,MATCH(T$1,'Conversion Range'!$A$2:$A$35,0)))),3))</f>
        <v>38.579000000000001</v>
      </c>
      <c r="U36">
        <f>IF('Legend Attributes'!U36=0,0,ROUND(IF(INDEX('Conversion Range'!$E$2:$E$35,MATCH(U$1,'Conversion Range'!$A$2:$A$35,0))=1,INDEX('Conversion Range'!$D$2:$D$35,MATCH(U$1,'Conversion Range'!$A$2:$A$35,0))-(('Legend Attributes'!U36-1)/19)*(INDEX('Conversion Range'!$D$2:$D$35,MATCH(U$1,'Conversion Range'!$A$2:$A$35,0))-INDEX('Conversion Range'!$C$2:$C$35,MATCH(U$1,'Conversion Range'!$A$2:$A$35,0))),INDEX('Conversion Range'!$C$2:$C$35,MATCH(U$1,'Conversion Range'!$A$2:$A$35,0))+(('Legend Attributes'!U36-1)/19)*(INDEX('Conversion Range'!$D$2:$D$35,MATCH(U$1,'Conversion Range'!$A$2:$A$35,0))-INDEX('Conversion Range'!$C$2:$C$35,MATCH(U$1,'Conversion Range'!$A$2:$A$35,0)))),3))</f>
        <v>1.121</v>
      </c>
      <c r="V36">
        <f>IF('Legend Attributes'!V36=0,0,ROUND(IF(INDEX('Conversion Range'!$E$2:$E$35,MATCH(V$1,'Conversion Range'!$A$2:$A$35,0))=1,INDEX('Conversion Range'!$D$2:$D$35,MATCH(V$1,'Conversion Range'!$A$2:$A$35,0))-(('Legend Attributes'!V36-1)/19)*(INDEX('Conversion Range'!$D$2:$D$35,MATCH(V$1,'Conversion Range'!$A$2:$A$35,0))-INDEX('Conversion Range'!$C$2:$C$35,MATCH(V$1,'Conversion Range'!$A$2:$A$35,0))),INDEX('Conversion Range'!$C$2:$C$35,MATCH(V$1,'Conversion Range'!$A$2:$A$35,0))+(('Legend Attributes'!V36-1)/19)*(INDEX('Conversion Range'!$D$2:$D$35,MATCH(V$1,'Conversion Range'!$A$2:$A$35,0))-INDEX('Conversion Range'!$C$2:$C$35,MATCH(V$1,'Conversion Range'!$A$2:$A$35,0)))),3))</f>
        <v>41.841999999999999</v>
      </c>
      <c r="W36">
        <f>IF('Legend Attributes'!W36=0,0,ROUND(IF(INDEX('Conversion Range'!$E$2:$E$35,MATCH(W$1,'Conversion Range'!$A$2:$A$35,0))=1,INDEX('Conversion Range'!$D$2:$D$35,MATCH(W$1,'Conversion Range'!$A$2:$A$35,0))-(('Legend Attributes'!W36-1)/19)*(INDEX('Conversion Range'!$D$2:$D$35,MATCH(W$1,'Conversion Range'!$A$2:$A$35,0))-INDEX('Conversion Range'!$C$2:$C$35,MATCH(W$1,'Conversion Range'!$A$2:$A$35,0))),INDEX('Conversion Range'!$C$2:$C$35,MATCH(W$1,'Conversion Range'!$A$2:$A$35,0))+(('Legend Attributes'!W36-1)/19)*(INDEX('Conversion Range'!$D$2:$D$35,MATCH(W$1,'Conversion Range'!$A$2:$A$35,0))-INDEX('Conversion Range'!$C$2:$C$35,MATCH(W$1,'Conversion Range'!$A$2:$A$35,0)))),3))</f>
        <v>0.21099999999999999</v>
      </c>
      <c r="X36">
        <f>IF('Legend Attributes'!X36=0,0,ROUND(IF(INDEX('Conversion Range'!$E$2:$E$35,MATCH(X$1,'Conversion Range'!$A$2:$A$35,0))=1,INDEX('Conversion Range'!$D$2:$D$35,MATCH(X$1,'Conversion Range'!$A$2:$A$35,0))-(('Legend Attributes'!X36-1)/19)*(INDEX('Conversion Range'!$D$2:$D$35,MATCH(X$1,'Conversion Range'!$A$2:$A$35,0))-INDEX('Conversion Range'!$C$2:$C$35,MATCH(X$1,'Conversion Range'!$A$2:$A$35,0))),INDEX('Conversion Range'!$C$2:$C$35,MATCH(X$1,'Conversion Range'!$A$2:$A$35,0))+(('Legend Attributes'!X36-1)/19)*(INDEX('Conversion Range'!$D$2:$D$35,MATCH(X$1,'Conversion Range'!$A$2:$A$35,0))-INDEX('Conversion Range'!$C$2:$C$35,MATCH(X$1,'Conversion Range'!$A$2:$A$35,0)))),3))</f>
        <v>0.81100000000000005</v>
      </c>
      <c r="Y36">
        <f>IF('Legend Attributes'!Y36=0,0,ROUND(IF(INDEX('Conversion Range'!$E$2:$E$35,MATCH(Y$1,'Conversion Range'!$A$2:$A$35,0))=1,INDEX('Conversion Range'!$D$2:$D$35,MATCH(Y$1,'Conversion Range'!$A$2:$A$35,0))-(('Legend Attributes'!Y36-1)/19)*(INDEX('Conversion Range'!$D$2:$D$35,MATCH(Y$1,'Conversion Range'!$A$2:$A$35,0))-INDEX('Conversion Range'!$C$2:$C$35,MATCH(Y$1,'Conversion Range'!$A$2:$A$35,0))),INDEX('Conversion Range'!$C$2:$C$35,MATCH(Y$1,'Conversion Range'!$A$2:$A$35,0))+(('Legend Attributes'!Y36-1)/19)*(INDEX('Conversion Range'!$D$2:$D$35,MATCH(Y$1,'Conversion Range'!$A$2:$A$35,0))-INDEX('Conversion Range'!$C$2:$C$35,MATCH(Y$1,'Conversion Range'!$A$2:$A$35,0)))),3))</f>
        <v>0.33200000000000002</v>
      </c>
      <c r="Z36">
        <f>IF('Legend Attributes'!Z36=0,0,ROUND(IF(INDEX('Conversion Range'!$E$2:$E$35,MATCH(Z$1,'Conversion Range'!$A$2:$A$35,0))=1,INDEX('Conversion Range'!$D$2:$D$35,MATCH(Z$1,'Conversion Range'!$A$2:$A$35,0))-(('Legend Attributes'!Z36-1)/19)*(INDEX('Conversion Range'!$D$2:$D$35,MATCH(Z$1,'Conversion Range'!$A$2:$A$35,0))-INDEX('Conversion Range'!$C$2:$C$35,MATCH(Z$1,'Conversion Range'!$A$2:$A$35,0))),INDEX('Conversion Range'!$C$2:$C$35,MATCH(Z$1,'Conversion Range'!$A$2:$A$35,0))+(('Legend Attributes'!Z36-1)/19)*(INDEX('Conversion Range'!$D$2:$D$35,MATCH(Z$1,'Conversion Range'!$A$2:$A$35,0))-INDEX('Conversion Range'!$C$2:$C$35,MATCH(Z$1,'Conversion Range'!$A$2:$A$35,0)))),3))</f>
        <v>8.1050000000000004</v>
      </c>
      <c r="AA36">
        <f>IF('Legend Attributes'!AA36=0,0,ROUND(IF(INDEX('Conversion Range'!$E$2:$E$35,MATCH(AA$1,'Conversion Range'!$A$2:$A$35,0))=1,INDEX('Conversion Range'!$D$2:$D$35,MATCH(AA$1,'Conversion Range'!$A$2:$A$35,0))-(('Legend Attributes'!AA36-1)/19)*(INDEX('Conversion Range'!$D$2:$D$35,MATCH(AA$1,'Conversion Range'!$A$2:$A$35,0))-INDEX('Conversion Range'!$C$2:$C$35,MATCH(AA$1,'Conversion Range'!$A$2:$A$35,0))),INDEX('Conversion Range'!$C$2:$C$35,MATCH(AA$1,'Conversion Range'!$A$2:$A$35,0))+(('Legend Attributes'!AA36-1)/19)*(INDEX('Conversion Range'!$D$2:$D$35,MATCH(AA$1,'Conversion Range'!$A$2:$A$35,0))-INDEX('Conversion Range'!$C$2:$C$35,MATCH(AA$1,'Conversion Range'!$A$2:$A$35,0)))),3))</f>
        <v>3.6999999999999998E-2</v>
      </c>
      <c r="AB36">
        <f>IF('Legend Attributes'!AB36=0,0,ROUND(IF(INDEX('Conversion Range'!$E$2:$E$35,MATCH(AB$1,'Conversion Range'!$A$2:$A$35,0))=1,INDEX('Conversion Range'!$D$2:$D$35,MATCH(AB$1,'Conversion Range'!$A$2:$A$35,0))-(('Legend Attributes'!AB36-1)/19)*(INDEX('Conversion Range'!$D$2:$D$35,MATCH(AB$1,'Conversion Range'!$A$2:$A$35,0))-INDEX('Conversion Range'!$C$2:$C$35,MATCH(AB$1,'Conversion Range'!$A$2:$A$35,0))),INDEX('Conversion Range'!$C$2:$C$35,MATCH(AB$1,'Conversion Range'!$A$2:$A$35,0))+(('Legend Attributes'!AB36-1)/19)*(INDEX('Conversion Range'!$D$2:$D$35,MATCH(AB$1,'Conversion Range'!$A$2:$A$35,0))-INDEX('Conversion Range'!$C$2:$C$35,MATCH(AB$1,'Conversion Range'!$A$2:$A$35,0)))),3))</f>
        <v>0.71299999999999997</v>
      </c>
      <c r="AC36">
        <f>IF('Legend Attributes'!AC36=0,0,ROUND(IF(INDEX('Conversion Range'!$E$2:$E$35,MATCH(AC$1,'Conversion Range'!$A$2:$A$35,0))=1,INDEX('Conversion Range'!$D$2:$D$35,MATCH(AC$1,'Conversion Range'!$A$2:$A$35,0))-(('Legend Attributes'!AC36-1)/19)*(INDEX('Conversion Range'!$D$2:$D$35,MATCH(AC$1,'Conversion Range'!$A$2:$A$35,0))-INDEX('Conversion Range'!$C$2:$C$35,MATCH(AC$1,'Conversion Range'!$A$2:$A$35,0))),INDEX('Conversion Range'!$C$2:$C$35,MATCH(AC$1,'Conversion Range'!$A$2:$A$35,0))+(('Legend Attributes'!AC36-1)/19)*(INDEX('Conversion Range'!$D$2:$D$35,MATCH(AC$1,'Conversion Range'!$A$2:$A$35,0))-INDEX('Conversion Range'!$C$2:$C$35,MATCH(AC$1,'Conversion Range'!$A$2:$A$35,0)))),3))</f>
        <v>0.35799999999999998</v>
      </c>
      <c r="AD36">
        <f>IF('Legend Attributes'!AD36=0,0,ROUND(IF(INDEX('Conversion Range'!$E$2:$E$35,MATCH(AD$1,'Conversion Range'!$A$2:$A$35,0))=1,INDEX('Conversion Range'!$D$2:$D$35,MATCH(AD$1,'Conversion Range'!$A$2:$A$35,0))-(('Legend Attributes'!AD36-1)/19)*(INDEX('Conversion Range'!$D$2:$D$35,MATCH(AD$1,'Conversion Range'!$A$2:$A$35,0))-INDEX('Conversion Range'!$C$2:$C$35,MATCH(AD$1,'Conversion Range'!$A$2:$A$35,0))),INDEX('Conversion Range'!$C$2:$C$35,MATCH(AD$1,'Conversion Range'!$A$2:$A$35,0))+(('Legend Attributes'!AD36-1)/19)*(INDEX('Conversion Range'!$D$2:$D$35,MATCH(AD$1,'Conversion Range'!$A$2:$A$35,0))-INDEX('Conversion Range'!$C$2:$C$35,MATCH(AD$1,'Conversion Range'!$A$2:$A$35,0)))),3))</f>
        <v>0</v>
      </c>
      <c r="AE36">
        <f>IF('Legend Attributes'!AE36=0,0,ROUND(IF(INDEX('Conversion Range'!$E$2:$E$35,MATCH(AE$1,'Conversion Range'!$A$2:$A$35,0))=1,INDEX('Conversion Range'!$D$2:$D$35,MATCH(AE$1,'Conversion Range'!$A$2:$A$35,0))-(('Legend Attributes'!AE36-1)/19)*(INDEX('Conversion Range'!$D$2:$D$35,MATCH(AE$1,'Conversion Range'!$A$2:$A$35,0))-INDEX('Conversion Range'!$C$2:$C$35,MATCH(AE$1,'Conversion Range'!$A$2:$A$35,0))),INDEX('Conversion Range'!$C$2:$C$35,MATCH(AE$1,'Conversion Range'!$A$2:$A$35,0))+(('Legend Attributes'!AE36-1)/19)*(INDEX('Conversion Range'!$D$2:$D$35,MATCH(AE$1,'Conversion Range'!$A$2:$A$35,0))-INDEX('Conversion Range'!$C$2:$C$35,MATCH(AE$1,'Conversion Range'!$A$2:$A$35,0)))),3))</f>
        <v>0</v>
      </c>
      <c r="AF36">
        <f>IF('Legend Attributes'!AF36=0,0,ROUND(IF(INDEX('Conversion Range'!$E$2:$E$35,MATCH(AF$1,'Conversion Range'!$A$2:$A$35,0))=1,INDEX('Conversion Range'!$D$2:$D$35,MATCH(AF$1,'Conversion Range'!$A$2:$A$35,0))-(('Legend Attributes'!AF36-1)/19)*(INDEX('Conversion Range'!$D$2:$D$35,MATCH(AF$1,'Conversion Range'!$A$2:$A$35,0))-INDEX('Conversion Range'!$C$2:$C$35,MATCH(AF$1,'Conversion Range'!$A$2:$A$35,0))),INDEX('Conversion Range'!$C$2:$C$35,MATCH(AF$1,'Conversion Range'!$A$2:$A$35,0))+(('Legend Attributes'!AF36-1)/19)*(INDEX('Conversion Range'!$D$2:$D$35,MATCH(AF$1,'Conversion Range'!$A$2:$A$35,0))-INDEX('Conversion Range'!$C$2:$C$35,MATCH(AF$1,'Conversion Range'!$A$2:$A$35,0)))),3))</f>
        <v>0</v>
      </c>
      <c r="AG36">
        <f>IF('Legend Attributes'!AG36=0,0,ROUND(IF(INDEX('Conversion Range'!$E$2:$E$35,MATCH(AG$1,'Conversion Range'!$A$2:$A$35,0))=1,INDEX('Conversion Range'!$D$2:$D$35,MATCH(AG$1,'Conversion Range'!$A$2:$A$35,0))-(('Legend Attributes'!AG36-1)/19)*(INDEX('Conversion Range'!$D$2:$D$35,MATCH(AG$1,'Conversion Range'!$A$2:$A$35,0))-INDEX('Conversion Range'!$C$2:$C$35,MATCH(AG$1,'Conversion Range'!$A$2:$A$35,0))),INDEX('Conversion Range'!$C$2:$C$35,MATCH(AG$1,'Conversion Range'!$A$2:$A$35,0))+(('Legend Attributes'!AG36-1)/19)*(INDEX('Conversion Range'!$D$2:$D$35,MATCH(AG$1,'Conversion Range'!$A$2:$A$35,0))-INDEX('Conversion Range'!$C$2:$C$35,MATCH(AG$1,'Conversion Range'!$A$2:$A$35,0)))),3))</f>
        <v>1.1319999999999999</v>
      </c>
      <c r="AH36">
        <f>IF('Legend Attributes'!AH36=0,0,ROUND(IF(INDEX('Conversion Range'!$E$2:$E$35,MATCH(AH$1,'Conversion Range'!$A$2:$A$35,0))=1,INDEX('Conversion Range'!$D$2:$D$35,MATCH(AH$1,'Conversion Range'!$A$2:$A$35,0))-(('Legend Attributes'!AH36-1)/19)*(INDEX('Conversion Range'!$D$2:$D$35,MATCH(AH$1,'Conversion Range'!$A$2:$A$35,0))-INDEX('Conversion Range'!$C$2:$C$35,MATCH(AH$1,'Conversion Range'!$A$2:$A$35,0))),INDEX('Conversion Range'!$C$2:$C$35,MATCH(AH$1,'Conversion Range'!$A$2:$A$35,0))+(('Legend Attributes'!AH36-1)/19)*(INDEX('Conversion Range'!$D$2:$D$35,MATCH(AH$1,'Conversion Range'!$A$2:$A$35,0))-INDEX('Conversion Range'!$C$2:$C$35,MATCH(AH$1,'Conversion Range'!$A$2:$A$35,0)))),3))</f>
        <v>0.17799999999999999</v>
      </c>
      <c r="AI36">
        <f>IF('Legend Attributes'!AI36=0,0,ROUND(IF(INDEX('Conversion Range'!$E$2:$E$35,MATCH(AI$1,'Conversion Range'!$A$2:$A$35,0))=1,INDEX('Conversion Range'!$D$2:$D$35,MATCH(AI$1,'Conversion Range'!$A$2:$A$35,0))-(('Legend Attributes'!AI36-1)/19)*(INDEX('Conversion Range'!$D$2:$D$35,MATCH(AI$1,'Conversion Range'!$A$2:$A$35,0))-INDEX('Conversion Range'!$C$2:$C$35,MATCH(AI$1,'Conversion Range'!$A$2:$A$35,0))),INDEX('Conversion Range'!$C$2:$C$35,MATCH(AI$1,'Conversion Range'!$A$2:$A$35,0))+(('Legend Attributes'!AI36-1)/19)*(INDEX('Conversion Range'!$D$2:$D$35,MATCH(AI$1,'Conversion Range'!$A$2:$A$35,0))-INDEX('Conversion Range'!$C$2:$C$35,MATCH(AI$1,'Conversion Range'!$A$2:$A$35,0)))),3))</f>
        <v>4.3999999999999997E-2</v>
      </c>
      <c r="AJ36">
        <f>IF('Legend Attributes'!AJ36=0,0,ROUND(IF(INDEX('Conversion Range'!$E$2:$E$35,MATCH(AJ$1,'Conversion Range'!$A$2:$A$35,0))=1,INDEX('Conversion Range'!$D$2:$D$35,MATCH(AJ$1,'Conversion Range'!$A$2:$A$35,0))-(('Legend Attributes'!AJ36-1)/19)*(INDEX('Conversion Range'!$D$2:$D$35,MATCH(AJ$1,'Conversion Range'!$A$2:$A$35,0))-INDEX('Conversion Range'!$C$2:$C$35,MATCH(AJ$1,'Conversion Range'!$A$2:$A$35,0))),INDEX('Conversion Range'!$C$2:$C$35,MATCH(AJ$1,'Conversion Range'!$A$2:$A$35,0))+(('Legend Attributes'!AJ36-1)/19)*(INDEX('Conversion Range'!$D$2:$D$35,MATCH(AJ$1,'Conversion Range'!$A$2:$A$35,0))-INDEX('Conversion Range'!$C$2:$C$35,MATCH(AJ$1,'Conversion Range'!$A$2:$A$35,0)))),3))</f>
        <v>7.726</v>
      </c>
    </row>
    <row r="37" spans="1:36" x14ac:dyDescent="0.35">
      <c r="A37" t="str">
        <f>'Legend Attributes'!A37</f>
        <v>Guti</v>
      </c>
      <c r="B37" t="str">
        <f>'Legend Attributes'!B37</f>
        <v>AM</v>
      </c>
      <c r="C37">
        <f>IF('Legend Attributes'!C37=0,0,ROUND(IF(INDEX('Conversion Range'!$E$2:$E$35,MATCH(C$1,'Conversion Range'!$A$2:$A$35,0))=1,INDEX('Conversion Range'!$D$2:$D$35,MATCH(C$1,'Conversion Range'!$A$2:$A$35,0))-(('Legend Attributes'!C37-1)/19)*(INDEX('Conversion Range'!$D$2:$D$35,MATCH(C$1,'Conversion Range'!$A$2:$A$35,0))-INDEX('Conversion Range'!$C$2:$C$35,MATCH(C$1,'Conversion Range'!$A$2:$A$35,0))),INDEX('Conversion Range'!$C$2:$C$35,MATCH(C$1,'Conversion Range'!$A$2:$A$35,0))+(('Legend Attributes'!C37-1)/19)*(INDEX('Conversion Range'!$D$2:$D$35,MATCH(C$1,'Conversion Range'!$A$2:$A$35,0))-INDEX('Conversion Range'!$C$2:$C$35,MATCH(C$1,'Conversion Range'!$A$2:$A$35,0)))),3))</f>
        <v>0.36899999999999999</v>
      </c>
      <c r="D37">
        <f>IF('Legend Attributes'!D37=0,0,ROUND(IF(INDEX('Conversion Range'!$E$2:$E$35,MATCH(D$1,'Conversion Range'!$A$2:$A$35,0))=1,INDEX('Conversion Range'!$D$2:$D$35,MATCH(D$1,'Conversion Range'!$A$2:$A$35,0))-(('Legend Attributes'!D37-1)/19)*(INDEX('Conversion Range'!$D$2:$D$35,MATCH(D$1,'Conversion Range'!$A$2:$A$35,0))-INDEX('Conversion Range'!$C$2:$C$35,MATCH(D$1,'Conversion Range'!$A$2:$A$35,0))),INDEX('Conversion Range'!$C$2:$C$35,MATCH(D$1,'Conversion Range'!$A$2:$A$35,0))+(('Legend Attributes'!D37-1)/19)*(INDEX('Conversion Range'!$D$2:$D$35,MATCH(D$1,'Conversion Range'!$A$2:$A$35,0))-INDEX('Conversion Range'!$C$2:$C$35,MATCH(D$1,'Conversion Range'!$A$2:$A$35,0)))),3))</f>
        <v>0.32700000000000001</v>
      </c>
      <c r="E37">
        <f>IF('Legend Attributes'!E37=0,0,ROUND(IF(INDEX('Conversion Range'!$E$2:$E$35,MATCH(E$1,'Conversion Range'!$A$2:$A$35,0))=1,INDEX('Conversion Range'!$D$2:$D$35,MATCH(E$1,'Conversion Range'!$A$2:$A$35,0))-(('Legend Attributes'!E37-1)/19)*(INDEX('Conversion Range'!$D$2:$D$35,MATCH(E$1,'Conversion Range'!$A$2:$A$35,0))-INDEX('Conversion Range'!$C$2:$C$35,MATCH(E$1,'Conversion Range'!$A$2:$A$35,0))),INDEX('Conversion Range'!$C$2:$C$35,MATCH(E$1,'Conversion Range'!$A$2:$A$35,0))+(('Legend Attributes'!E37-1)/19)*(INDEX('Conversion Range'!$D$2:$D$35,MATCH(E$1,'Conversion Range'!$A$2:$A$35,0))-INDEX('Conversion Range'!$C$2:$C$35,MATCH(E$1,'Conversion Range'!$A$2:$A$35,0)))),3))</f>
        <v>0.379</v>
      </c>
      <c r="F37">
        <f>IF('Legend Attributes'!F37=0,0,ROUND(IF(INDEX('Conversion Range'!$E$2:$E$35,MATCH(F$1,'Conversion Range'!$A$2:$A$35,0))=1,INDEX('Conversion Range'!$D$2:$D$35,MATCH(F$1,'Conversion Range'!$A$2:$A$35,0))-(('Legend Attributes'!F37-1)/19)*(INDEX('Conversion Range'!$D$2:$D$35,MATCH(F$1,'Conversion Range'!$A$2:$A$35,0))-INDEX('Conversion Range'!$C$2:$C$35,MATCH(F$1,'Conversion Range'!$A$2:$A$35,0))),INDEX('Conversion Range'!$C$2:$C$35,MATCH(F$1,'Conversion Range'!$A$2:$A$35,0))+(('Legend Attributes'!F37-1)/19)*(INDEX('Conversion Range'!$D$2:$D$35,MATCH(F$1,'Conversion Range'!$A$2:$A$35,0))-INDEX('Conversion Range'!$C$2:$C$35,MATCH(F$1,'Conversion Range'!$A$2:$A$35,0)))),3))</f>
        <v>1.5680000000000001</v>
      </c>
      <c r="G37">
        <f>IF('Legend Attributes'!G37=0,0,ROUND(IF(INDEX('Conversion Range'!$E$2:$E$35,MATCH(G$1,'Conversion Range'!$A$2:$A$35,0))=1,INDEX('Conversion Range'!$D$2:$D$35,MATCH(G$1,'Conversion Range'!$A$2:$A$35,0))-(('Legend Attributes'!G37-1)/19)*(INDEX('Conversion Range'!$D$2:$D$35,MATCH(G$1,'Conversion Range'!$A$2:$A$35,0))-INDEX('Conversion Range'!$C$2:$C$35,MATCH(G$1,'Conversion Range'!$A$2:$A$35,0))),INDEX('Conversion Range'!$C$2:$C$35,MATCH(G$1,'Conversion Range'!$A$2:$A$35,0))+(('Legend Attributes'!G37-1)/19)*(INDEX('Conversion Range'!$D$2:$D$35,MATCH(G$1,'Conversion Range'!$A$2:$A$35,0))-INDEX('Conversion Range'!$C$2:$C$35,MATCH(G$1,'Conversion Range'!$A$2:$A$35,0)))),3))</f>
        <v>0.78100000000000003</v>
      </c>
      <c r="H37">
        <f>IF('Legend Attributes'!H37=0,0,ROUND(IF(INDEX('Conversion Range'!$E$2:$E$35,MATCH(H$1,'Conversion Range'!$A$2:$A$35,0))=1,INDEX('Conversion Range'!$D$2:$D$35,MATCH(H$1,'Conversion Range'!$A$2:$A$35,0))-(('Legend Attributes'!H37-1)/19)*(INDEX('Conversion Range'!$D$2:$D$35,MATCH(H$1,'Conversion Range'!$A$2:$A$35,0))-INDEX('Conversion Range'!$C$2:$C$35,MATCH(H$1,'Conversion Range'!$A$2:$A$35,0))),INDEX('Conversion Range'!$C$2:$C$35,MATCH(H$1,'Conversion Range'!$A$2:$A$35,0))+(('Legend Attributes'!H37-1)/19)*(INDEX('Conversion Range'!$D$2:$D$35,MATCH(H$1,'Conversion Range'!$A$2:$A$35,0))-INDEX('Conversion Range'!$C$2:$C$35,MATCH(H$1,'Conversion Range'!$A$2:$A$35,0)))),3))</f>
        <v>0.158</v>
      </c>
      <c r="I37">
        <f>IF('Legend Attributes'!I37=0,0,ROUND(IF(INDEX('Conversion Range'!$E$2:$E$35,MATCH(I$1,'Conversion Range'!$A$2:$A$35,0))=1,INDEX('Conversion Range'!$D$2:$D$35,MATCH(I$1,'Conversion Range'!$A$2:$A$35,0))-(('Legend Attributes'!I37-1)/19)*(INDEX('Conversion Range'!$D$2:$D$35,MATCH(I$1,'Conversion Range'!$A$2:$A$35,0))-INDEX('Conversion Range'!$C$2:$C$35,MATCH(I$1,'Conversion Range'!$A$2:$A$35,0))),INDEX('Conversion Range'!$C$2:$C$35,MATCH(I$1,'Conversion Range'!$A$2:$A$35,0))+(('Legend Attributes'!I37-1)/19)*(INDEX('Conversion Range'!$D$2:$D$35,MATCH(I$1,'Conversion Range'!$A$2:$A$35,0))-INDEX('Conversion Range'!$C$2:$C$35,MATCH(I$1,'Conversion Range'!$A$2:$A$35,0)))),3))</f>
        <v>2.2050000000000001</v>
      </c>
      <c r="J37">
        <f>IF('Legend Attributes'!J37=0,0,ROUND(IF(INDEX('Conversion Range'!$E$2:$E$35,MATCH(J$1,'Conversion Range'!$A$2:$A$35,0))=1,INDEX('Conversion Range'!$D$2:$D$35,MATCH(J$1,'Conversion Range'!$A$2:$A$35,0))-(('Legend Attributes'!J37-1)/19)*(INDEX('Conversion Range'!$D$2:$D$35,MATCH(J$1,'Conversion Range'!$A$2:$A$35,0))-INDEX('Conversion Range'!$C$2:$C$35,MATCH(J$1,'Conversion Range'!$A$2:$A$35,0))),INDEX('Conversion Range'!$C$2:$C$35,MATCH(J$1,'Conversion Range'!$A$2:$A$35,0))+(('Legend Attributes'!J37-1)/19)*(INDEX('Conversion Range'!$D$2:$D$35,MATCH(J$1,'Conversion Range'!$A$2:$A$35,0))-INDEX('Conversion Range'!$C$2:$C$35,MATCH(J$1,'Conversion Range'!$A$2:$A$35,0)))),3))</f>
        <v>0.85299999999999998</v>
      </c>
      <c r="K37">
        <f>IF('Legend Attributes'!K37=0,0,ROUND(IF(INDEX('Conversion Range'!$E$2:$E$35,MATCH(K$1,'Conversion Range'!$A$2:$A$35,0))=1,INDEX('Conversion Range'!$D$2:$D$35,MATCH(K$1,'Conversion Range'!$A$2:$A$35,0))-(('Legend Attributes'!K37-1)/19)*(INDEX('Conversion Range'!$D$2:$D$35,MATCH(K$1,'Conversion Range'!$A$2:$A$35,0))-INDEX('Conversion Range'!$C$2:$C$35,MATCH(K$1,'Conversion Range'!$A$2:$A$35,0))),INDEX('Conversion Range'!$C$2:$C$35,MATCH(K$1,'Conversion Range'!$A$2:$A$35,0))+(('Legend Attributes'!K37-1)/19)*(INDEX('Conversion Range'!$D$2:$D$35,MATCH(K$1,'Conversion Range'!$A$2:$A$35,0))-INDEX('Conversion Range'!$C$2:$C$35,MATCH(K$1,'Conversion Range'!$A$2:$A$35,0)))),3))</f>
        <v>0.56299999999999994</v>
      </c>
      <c r="L37">
        <f>IF('Legend Attributes'!L37=0,0,ROUND(IF(INDEX('Conversion Range'!$E$2:$E$35,MATCH(L$1,'Conversion Range'!$A$2:$A$35,0))=1,INDEX('Conversion Range'!$D$2:$D$35,MATCH(L$1,'Conversion Range'!$A$2:$A$35,0))-(('Legend Attributes'!L37-1)/19)*(INDEX('Conversion Range'!$D$2:$D$35,MATCH(L$1,'Conversion Range'!$A$2:$A$35,0))-INDEX('Conversion Range'!$C$2:$C$35,MATCH(L$1,'Conversion Range'!$A$2:$A$35,0))),INDEX('Conversion Range'!$C$2:$C$35,MATCH(L$1,'Conversion Range'!$A$2:$A$35,0))+(('Legend Attributes'!L37-1)/19)*(INDEX('Conversion Range'!$D$2:$D$35,MATCH(L$1,'Conversion Range'!$A$2:$A$35,0))-INDEX('Conversion Range'!$C$2:$C$35,MATCH(L$1,'Conversion Range'!$A$2:$A$35,0)))),3))</f>
        <v>0</v>
      </c>
      <c r="M37">
        <f>IF('Legend Attributes'!M37=0,0,ROUND(IF(INDEX('Conversion Range'!$E$2:$E$35,MATCH(M$1,'Conversion Range'!$A$2:$A$35,0))=1,INDEX('Conversion Range'!$D$2:$D$35,MATCH(M$1,'Conversion Range'!$A$2:$A$35,0))-(('Legend Attributes'!M37-1)/19)*(INDEX('Conversion Range'!$D$2:$D$35,MATCH(M$1,'Conversion Range'!$A$2:$A$35,0))-INDEX('Conversion Range'!$C$2:$C$35,MATCH(M$1,'Conversion Range'!$A$2:$A$35,0))),INDEX('Conversion Range'!$C$2:$C$35,MATCH(M$1,'Conversion Range'!$A$2:$A$35,0))+(('Legend Attributes'!M37-1)/19)*(INDEX('Conversion Range'!$D$2:$D$35,MATCH(M$1,'Conversion Range'!$A$2:$A$35,0))-INDEX('Conversion Range'!$C$2:$C$35,MATCH(M$1,'Conversion Range'!$A$2:$A$35,0)))),3))</f>
        <v>0</v>
      </c>
      <c r="N37">
        <f>IF('Legend Attributes'!N37=0,0,ROUND(IF(INDEX('Conversion Range'!$E$2:$E$35,MATCH(N$1,'Conversion Range'!$A$2:$A$35,0))=1,INDEX('Conversion Range'!$D$2:$D$35,MATCH(N$1,'Conversion Range'!$A$2:$A$35,0))-(('Legend Attributes'!N37-1)/19)*(INDEX('Conversion Range'!$D$2:$D$35,MATCH(N$1,'Conversion Range'!$A$2:$A$35,0))-INDEX('Conversion Range'!$C$2:$C$35,MATCH(N$1,'Conversion Range'!$A$2:$A$35,0))),INDEX('Conversion Range'!$C$2:$C$35,MATCH(N$1,'Conversion Range'!$A$2:$A$35,0))+(('Legend Attributes'!N37-1)/19)*(INDEX('Conversion Range'!$D$2:$D$35,MATCH(N$1,'Conversion Range'!$A$2:$A$35,0))-INDEX('Conversion Range'!$C$2:$C$35,MATCH(N$1,'Conversion Range'!$A$2:$A$35,0)))),3))</f>
        <v>4.3680000000000003</v>
      </c>
      <c r="O37">
        <f>IF('Legend Attributes'!O37=0,0,ROUND(IF(INDEX('Conversion Range'!$E$2:$E$35,MATCH(O$1,'Conversion Range'!$A$2:$A$35,0))=1,INDEX('Conversion Range'!$D$2:$D$35,MATCH(O$1,'Conversion Range'!$A$2:$A$35,0))-(('Legend Attributes'!O37-1)/19)*(INDEX('Conversion Range'!$D$2:$D$35,MATCH(O$1,'Conversion Range'!$A$2:$A$35,0))-INDEX('Conversion Range'!$C$2:$C$35,MATCH(O$1,'Conversion Range'!$A$2:$A$35,0))),INDEX('Conversion Range'!$C$2:$C$35,MATCH(O$1,'Conversion Range'!$A$2:$A$35,0))+(('Legend Attributes'!O37-1)/19)*(INDEX('Conversion Range'!$D$2:$D$35,MATCH(O$1,'Conversion Range'!$A$2:$A$35,0))-INDEX('Conversion Range'!$C$2:$C$35,MATCH(O$1,'Conversion Range'!$A$2:$A$35,0)))),3))</f>
        <v>1.732</v>
      </c>
      <c r="P37">
        <f>IF('Legend Attributes'!P37=0,0,ROUND(IF(INDEX('Conversion Range'!$E$2:$E$35,MATCH(P$1,'Conversion Range'!$A$2:$A$35,0))=1,INDEX('Conversion Range'!$D$2:$D$35,MATCH(P$1,'Conversion Range'!$A$2:$A$35,0))-(('Legend Attributes'!P37-1)/19)*(INDEX('Conversion Range'!$D$2:$D$35,MATCH(P$1,'Conversion Range'!$A$2:$A$35,0))-INDEX('Conversion Range'!$C$2:$C$35,MATCH(P$1,'Conversion Range'!$A$2:$A$35,0))),INDEX('Conversion Range'!$C$2:$C$35,MATCH(P$1,'Conversion Range'!$A$2:$A$35,0))+(('Legend Attributes'!P37-1)/19)*(INDEX('Conversion Range'!$D$2:$D$35,MATCH(P$1,'Conversion Range'!$A$2:$A$35,0))-INDEX('Conversion Range'!$C$2:$C$35,MATCH(P$1,'Conversion Range'!$A$2:$A$35,0)))),3))</f>
        <v>67.632000000000005</v>
      </c>
      <c r="Q37">
        <f>IF('Legend Attributes'!Q37=0,0,ROUND(IF(INDEX('Conversion Range'!$E$2:$E$35,MATCH(Q$1,'Conversion Range'!$A$2:$A$35,0))=1,INDEX('Conversion Range'!$D$2:$D$35,MATCH(Q$1,'Conversion Range'!$A$2:$A$35,0))-(('Legend Attributes'!Q37-1)/19)*(INDEX('Conversion Range'!$D$2:$D$35,MATCH(Q$1,'Conversion Range'!$A$2:$A$35,0))-INDEX('Conversion Range'!$C$2:$C$35,MATCH(Q$1,'Conversion Range'!$A$2:$A$35,0))),INDEX('Conversion Range'!$C$2:$C$35,MATCH(Q$1,'Conversion Range'!$A$2:$A$35,0))+(('Legend Attributes'!Q37-1)/19)*(INDEX('Conversion Range'!$D$2:$D$35,MATCH(Q$1,'Conversion Range'!$A$2:$A$35,0))-INDEX('Conversion Range'!$C$2:$C$35,MATCH(Q$1,'Conversion Range'!$A$2:$A$35,0)))),3))</f>
        <v>45.420999999999999</v>
      </c>
      <c r="R37">
        <f>IF('Legend Attributes'!R37=0,0,ROUND(IF(INDEX('Conversion Range'!$E$2:$E$35,MATCH(R$1,'Conversion Range'!$A$2:$A$35,0))=1,INDEX('Conversion Range'!$D$2:$D$35,MATCH(R$1,'Conversion Range'!$A$2:$A$35,0))-(('Legend Attributes'!R37-1)/19)*(INDEX('Conversion Range'!$D$2:$D$35,MATCH(R$1,'Conversion Range'!$A$2:$A$35,0))-INDEX('Conversion Range'!$C$2:$C$35,MATCH(R$1,'Conversion Range'!$A$2:$A$35,0))),INDEX('Conversion Range'!$C$2:$C$35,MATCH(R$1,'Conversion Range'!$A$2:$A$35,0))+(('Legend Attributes'!R37-1)/19)*(INDEX('Conversion Range'!$D$2:$D$35,MATCH(R$1,'Conversion Range'!$A$2:$A$35,0))-INDEX('Conversion Range'!$C$2:$C$35,MATCH(R$1,'Conversion Range'!$A$2:$A$35,0)))),3))</f>
        <v>90.789000000000001</v>
      </c>
      <c r="S37">
        <f>IF('Legend Attributes'!S37=0,0,ROUND(IF(INDEX('Conversion Range'!$E$2:$E$35,MATCH(S$1,'Conversion Range'!$A$2:$A$35,0))=1,INDEX('Conversion Range'!$D$2:$D$35,MATCH(S$1,'Conversion Range'!$A$2:$A$35,0))-(('Legend Attributes'!S37-1)/19)*(INDEX('Conversion Range'!$D$2:$D$35,MATCH(S$1,'Conversion Range'!$A$2:$A$35,0))-INDEX('Conversion Range'!$C$2:$C$35,MATCH(S$1,'Conversion Range'!$A$2:$A$35,0))),INDEX('Conversion Range'!$C$2:$C$35,MATCH(S$1,'Conversion Range'!$A$2:$A$35,0))+(('Legend Attributes'!S37-1)/19)*(INDEX('Conversion Range'!$D$2:$D$35,MATCH(S$1,'Conversion Range'!$A$2:$A$35,0))-INDEX('Conversion Range'!$C$2:$C$35,MATCH(S$1,'Conversion Range'!$A$2:$A$35,0)))),3))</f>
        <v>4.6159999999999997</v>
      </c>
      <c r="T37">
        <f>IF('Legend Attributes'!T37=0,0,ROUND(IF(INDEX('Conversion Range'!$E$2:$E$35,MATCH(T$1,'Conversion Range'!$A$2:$A$35,0))=1,INDEX('Conversion Range'!$D$2:$D$35,MATCH(T$1,'Conversion Range'!$A$2:$A$35,0))-(('Legend Attributes'!T37-1)/19)*(INDEX('Conversion Range'!$D$2:$D$35,MATCH(T$1,'Conversion Range'!$A$2:$A$35,0))-INDEX('Conversion Range'!$C$2:$C$35,MATCH(T$1,'Conversion Range'!$A$2:$A$35,0))),INDEX('Conversion Range'!$C$2:$C$35,MATCH(T$1,'Conversion Range'!$A$2:$A$35,0))+(('Legend Attributes'!T37-1)/19)*(INDEX('Conversion Range'!$D$2:$D$35,MATCH(T$1,'Conversion Range'!$A$2:$A$35,0))-INDEX('Conversion Range'!$C$2:$C$35,MATCH(T$1,'Conversion Range'!$A$2:$A$35,0)))),3))</f>
        <v>54.420999999999999</v>
      </c>
      <c r="U37">
        <f>IF('Legend Attributes'!U37=0,0,ROUND(IF(INDEX('Conversion Range'!$E$2:$E$35,MATCH(U$1,'Conversion Range'!$A$2:$A$35,0))=1,INDEX('Conversion Range'!$D$2:$D$35,MATCH(U$1,'Conversion Range'!$A$2:$A$35,0))-(('Legend Attributes'!U37-1)/19)*(INDEX('Conversion Range'!$D$2:$D$35,MATCH(U$1,'Conversion Range'!$A$2:$A$35,0))-INDEX('Conversion Range'!$C$2:$C$35,MATCH(U$1,'Conversion Range'!$A$2:$A$35,0))),INDEX('Conversion Range'!$C$2:$C$35,MATCH(U$1,'Conversion Range'!$A$2:$A$35,0))+(('Legend Attributes'!U37-1)/19)*(INDEX('Conversion Range'!$D$2:$D$35,MATCH(U$1,'Conversion Range'!$A$2:$A$35,0))-INDEX('Conversion Range'!$C$2:$C$35,MATCH(U$1,'Conversion Range'!$A$2:$A$35,0)))),3))</f>
        <v>0.84699999999999998</v>
      </c>
      <c r="V37">
        <f>IF('Legend Attributes'!V37=0,0,ROUND(IF(INDEX('Conversion Range'!$E$2:$E$35,MATCH(V$1,'Conversion Range'!$A$2:$A$35,0))=1,INDEX('Conversion Range'!$D$2:$D$35,MATCH(V$1,'Conversion Range'!$A$2:$A$35,0))-(('Legend Attributes'!V37-1)/19)*(INDEX('Conversion Range'!$D$2:$D$35,MATCH(V$1,'Conversion Range'!$A$2:$A$35,0))-INDEX('Conversion Range'!$C$2:$C$35,MATCH(V$1,'Conversion Range'!$A$2:$A$35,0))),INDEX('Conversion Range'!$C$2:$C$35,MATCH(V$1,'Conversion Range'!$A$2:$A$35,0))+(('Legend Attributes'!V37-1)/19)*(INDEX('Conversion Range'!$D$2:$D$35,MATCH(V$1,'Conversion Range'!$A$2:$A$35,0))-INDEX('Conversion Range'!$C$2:$C$35,MATCH(V$1,'Conversion Range'!$A$2:$A$35,0)))),3))</f>
        <v>39.473999999999997</v>
      </c>
      <c r="W37">
        <f>IF('Legend Attributes'!W37=0,0,ROUND(IF(INDEX('Conversion Range'!$E$2:$E$35,MATCH(W$1,'Conversion Range'!$A$2:$A$35,0))=1,INDEX('Conversion Range'!$D$2:$D$35,MATCH(W$1,'Conversion Range'!$A$2:$A$35,0))-(('Legend Attributes'!W37-1)/19)*(INDEX('Conversion Range'!$D$2:$D$35,MATCH(W$1,'Conversion Range'!$A$2:$A$35,0))-INDEX('Conversion Range'!$C$2:$C$35,MATCH(W$1,'Conversion Range'!$A$2:$A$35,0))),INDEX('Conversion Range'!$C$2:$C$35,MATCH(W$1,'Conversion Range'!$A$2:$A$35,0))+(('Legend Attributes'!W37-1)/19)*(INDEX('Conversion Range'!$D$2:$D$35,MATCH(W$1,'Conversion Range'!$A$2:$A$35,0))-INDEX('Conversion Range'!$C$2:$C$35,MATCH(W$1,'Conversion Range'!$A$2:$A$35,0)))),3))</f>
        <v>0.158</v>
      </c>
      <c r="X37">
        <f>IF('Legend Attributes'!X37=0,0,ROUND(IF(INDEX('Conversion Range'!$E$2:$E$35,MATCH(X$1,'Conversion Range'!$A$2:$A$35,0))=1,INDEX('Conversion Range'!$D$2:$D$35,MATCH(X$1,'Conversion Range'!$A$2:$A$35,0))-(('Legend Attributes'!X37-1)/19)*(INDEX('Conversion Range'!$D$2:$D$35,MATCH(X$1,'Conversion Range'!$A$2:$A$35,0))-INDEX('Conversion Range'!$C$2:$C$35,MATCH(X$1,'Conversion Range'!$A$2:$A$35,0))),INDEX('Conversion Range'!$C$2:$C$35,MATCH(X$1,'Conversion Range'!$A$2:$A$35,0))+(('Legend Attributes'!X37-1)/19)*(INDEX('Conversion Range'!$D$2:$D$35,MATCH(X$1,'Conversion Range'!$A$2:$A$35,0))-INDEX('Conversion Range'!$C$2:$C$35,MATCH(X$1,'Conversion Range'!$A$2:$A$35,0)))),3))</f>
        <v>0.69499999999999995</v>
      </c>
      <c r="Y37">
        <f>IF('Legend Attributes'!Y37=0,0,ROUND(IF(INDEX('Conversion Range'!$E$2:$E$35,MATCH(Y$1,'Conversion Range'!$A$2:$A$35,0))=1,INDEX('Conversion Range'!$D$2:$D$35,MATCH(Y$1,'Conversion Range'!$A$2:$A$35,0))-(('Legend Attributes'!Y37-1)/19)*(INDEX('Conversion Range'!$D$2:$D$35,MATCH(Y$1,'Conversion Range'!$A$2:$A$35,0))-INDEX('Conversion Range'!$C$2:$C$35,MATCH(Y$1,'Conversion Range'!$A$2:$A$35,0))),INDEX('Conversion Range'!$C$2:$C$35,MATCH(Y$1,'Conversion Range'!$A$2:$A$35,0))+(('Legend Attributes'!Y37-1)/19)*(INDEX('Conversion Range'!$D$2:$D$35,MATCH(Y$1,'Conversion Range'!$A$2:$A$35,0))-INDEX('Conversion Range'!$C$2:$C$35,MATCH(Y$1,'Conversion Range'!$A$2:$A$35,0)))),3))</f>
        <v>0.33200000000000002</v>
      </c>
      <c r="Z37">
        <f>IF('Legend Attributes'!Z37=0,0,ROUND(IF(INDEX('Conversion Range'!$E$2:$E$35,MATCH(Z$1,'Conversion Range'!$A$2:$A$35,0))=1,INDEX('Conversion Range'!$D$2:$D$35,MATCH(Z$1,'Conversion Range'!$A$2:$A$35,0))-(('Legend Attributes'!Z37-1)/19)*(INDEX('Conversion Range'!$D$2:$D$35,MATCH(Z$1,'Conversion Range'!$A$2:$A$35,0))-INDEX('Conversion Range'!$C$2:$C$35,MATCH(Z$1,'Conversion Range'!$A$2:$A$35,0))),INDEX('Conversion Range'!$C$2:$C$35,MATCH(Z$1,'Conversion Range'!$A$2:$A$35,0))+(('Legend Attributes'!Z37-1)/19)*(INDEX('Conversion Range'!$D$2:$D$35,MATCH(Z$1,'Conversion Range'!$A$2:$A$35,0))-INDEX('Conversion Range'!$C$2:$C$35,MATCH(Z$1,'Conversion Range'!$A$2:$A$35,0)))),3))</f>
        <v>8.1050000000000004</v>
      </c>
      <c r="AA37">
        <f>IF('Legend Attributes'!AA37=0,0,ROUND(IF(INDEX('Conversion Range'!$E$2:$E$35,MATCH(AA$1,'Conversion Range'!$A$2:$A$35,0))=1,INDEX('Conversion Range'!$D$2:$D$35,MATCH(AA$1,'Conversion Range'!$A$2:$A$35,0))-(('Legend Attributes'!AA37-1)/19)*(INDEX('Conversion Range'!$D$2:$D$35,MATCH(AA$1,'Conversion Range'!$A$2:$A$35,0))-INDEX('Conversion Range'!$C$2:$C$35,MATCH(AA$1,'Conversion Range'!$A$2:$A$35,0))),INDEX('Conversion Range'!$C$2:$C$35,MATCH(AA$1,'Conversion Range'!$A$2:$A$35,0))+(('Legend Attributes'!AA37-1)/19)*(INDEX('Conversion Range'!$D$2:$D$35,MATCH(AA$1,'Conversion Range'!$A$2:$A$35,0))-INDEX('Conversion Range'!$C$2:$C$35,MATCH(AA$1,'Conversion Range'!$A$2:$A$35,0)))),3))</f>
        <v>3.6999999999999998E-2</v>
      </c>
      <c r="AB37">
        <f>IF('Legend Attributes'!AB37=0,0,ROUND(IF(INDEX('Conversion Range'!$E$2:$E$35,MATCH(AB$1,'Conversion Range'!$A$2:$A$35,0))=1,INDEX('Conversion Range'!$D$2:$D$35,MATCH(AB$1,'Conversion Range'!$A$2:$A$35,0))-(('Legend Attributes'!AB37-1)/19)*(INDEX('Conversion Range'!$D$2:$D$35,MATCH(AB$1,'Conversion Range'!$A$2:$A$35,0))-INDEX('Conversion Range'!$C$2:$C$35,MATCH(AB$1,'Conversion Range'!$A$2:$A$35,0))),INDEX('Conversion Range'!$C$2:$C$35,MATCH(AB$1,'Conversion Range'!$A$2:$A$35,0))+(('Legend Attributes'!AB37-1)/19)*(INDEX('Conversion Range'!$D$2:$D$35,MATCH(AB$1,'Conversion Range'!$A$2:$A$35,0))-INDEX('Conversion Range'!$C$2:$C$35,MATCH(AB$1,'Conversion Range'!$A$2:$A$35,0)))),3))</f>
        <v>0.66600000000000004</v>
      </c>
      <c r="AC37">
        <f>IF('Legend Attributes'!AC37=0,0,ROUND(IF(INDEX('Conversion Range'!$E$2:$E$35,MATCH(AC$1,'Conversion Range'!$A$2:$A$35,0))=1,INDEX('Conversion Range'!$D$2:$D$35,MATCH(AC$1,'Conversion Range'!$A$2:$A$35,0))-(('Legend Attributes'!AC37-1)/19)*(INDEX('Conversion Range'!$D$2:$D$35,MATCH(AC$1,'Conversion Range'!$A$2:$A$35,0))-INDEX('Conversion Range'!$C$2:$C$35,MATCH(AC$1,'Conversion Range'!$A$2:$A$35,0))),INDEX('Conversion Range'!$C$2:$C$35,MATCH(AC$1,'Conversion Range'!$A$2:$A$35,0))+(('Legend Attributes'!AC37-1)/19)*(INDEX('Conversion Range'!$D$2:$D$35,MATCH(AC$1,'Conversion Range'!$A$2:$A$35,0))-INDEX('Conversion Range'!$C$2:$C$35,MATCH(AC$1,'Conversion Range'!$A$2:$A$35,0)))),3))</f>
        <v>0.38600000000000001</v>
      </c>
      <c r="AD37">
        <f>IF('Legend Attributes'!AD37=0,0,ROUND(IF(INDEX('Conversion Range'!$E$2:$E$35,MATCH(AD$1,'Conversion Range'!$A$2:$A$35,0))=1,INDEX('Conversion Range'!$D$2:$D$35,MATCH(AD$1,'Conversion Range'!$A$2:$A$35,0))-(('Legend Attributes'!AD37-1)/19)*(INDEX('Conversion Range'!$D$2:$D$35,MATCH(AD$1,'Conversion Range'!$A$2:$A$35,0))-INDEX('Conversion Range'!$C$2:$C$35,MATCH(AD$1,'Conversion Range'!$A$2:$A$35,0))),INDEX('Conversion Range'!$C$2:$C$35,MATCH(AD$1,'Conversion Range'!$A$2:$A$35,0))+(('Legend Attributes'!AD37-1)/19)*(INDEX('Conversion Range'!$D$2:$D$35,MATCH(AD$1,'Conversion Range'!$A$2:$A$35,0))-INDEX('Conversion Range'!$C$2:$C$35,MATCH(AD$1,'Conversion Range'!$A$2:$A$35,0)))),3))</f>
        <v>0</v>
      </c>
      <c r="AE37">
        <f>IF('Legend Attributes'!AE37=0,0,ROUND(IF(INDEX('Conversion Range'!$E$2:$E$35,MATCH(AE$1,'Conversion Range'!$A$2:$A$35,0))=1,INDEX('Conversion Range'!$D$2:$D$35,MATCH(AE$1,'Conversion Range'!$A$2:$A$35,0))-(('Legend Attributes'!AE37-1)/19)*(INDEX('Conversion Range'!$D$2:$D$35,MATCH(AE$1,'Conversion Range'!$A$2:$A$35,0))-INDEX('Conversion Range'!$C$2:$C$35,MATCH(AE$1,'Conversion Range'!$A$2:$A$35,0))),INDEX('Conversion Range'!$C$2:$C$35,MATCH(AE$1,'Conversion Range'!$A$2:$A$35,0))+(('Legend Attributes'!AE37-1)/19)*(INDEX('Conversion Range'!$D$2:$D$35,MATCH(AE$1,'Conversion Range'!$A$2:$A$35,0))-INDEX('Conversion Range'!$C$2:$C$35,MATCH(AE$1,'Conversion Range'!$A$2:$A$35,0)))),3))</f>
        <v>0</v>
      </c>
      <c r="AF37">
        <f>IF('Legend Attributes'!AF37=0,0,ROUND(IF(INDEX('Conversion Range'!$E$2:$E$35,MATCH(AF$1,'Conversion Range'!$A$2:$A$35,0))=1,INDEX('Conversion Range'!$D$2:$D$35,MATCH(AF$1,'Conversion Range'!$A$2:$A$35,0))-(('Legend Attributes'!AF37-1)/19)*(INDEX('Conversion Range'!$D$2:$D$35,MATCH(AF$1,'Conversion Range'!$A$2:$A$35,0))-INDEX('Conversion Range'!$C$2:$C$35,MATCH(AF$1,'Conversion Range'!$A$2:$A$35,0))),INDEX('Conversion Range'!$C$2:$C$35,MATCH(AF$1,'Conversion Range'!$A$2:$A$35,0))+(('Legend Attributes'!AF37-1)/19)*(INDEX('Conversion Range'!$D$2:$D$35,MATCH(AF$1,'Conversion Range'!$A$2:$A$35,0))-INDEX('Conversion Range'!$C$2:$C$35,MATCH(AF$1,'Conversion Range'!$A$2:$A$35,0)))),3))</f>
        <v>0</v>
      </c>
      <c r="AG37">
        <f>IF('Legend Attributes'!AG37=0,0,ROUND(IF(INDEX('Conversion Range'!$E$2:$E$35,MATCH(AG$1,'Conversion Range'!$A$2:$A$35,0))=1,INDEX('Conversion Range'!$D$2:$D$35,MATCH(AG$1,'Conversion Range'!$A$2:$A$35,0))-(('Legend Attributes'!AG37-1)/19)*(INDEX('Conversion Range'!$D$2:$D$35,MATCH(AG$1,'Conversion Range'!$A$2:$A$35,0))-INDEX('Conversion Range'!$C$2:$C$35,MATCH(AG$1,'Conversion Range'!$A$2:$A$35,0))),INDEX('Conversion Range'!$C$2:$C$35,MATCH(AG$1,'Conversion Range'!$A$2:$A$35,0))+(('Legend Attributes'!AG37-1)/19)*(INDEX('Conversion Range'!$D$2:$D$35,MATCH(AG$1,'Conversion Range'!$A$2:$A$35,0))-INDEX('Conversion Range'!$C$2:$C$35,MATCH(AG$1,'Conversion Range'!$A$2:$A$35,0)))),3))</f>
        <v>1.1319999999999999</v>
      </c>
      <c r="AH37">
        <f>IF('Legend Attributes'!AH37=0,0,ROUND(IF(INDEX('Conversion Range'!$E$2:$E$35,MATCH(AH$1,'Conversion Range'!$A$2:$A$35,0))=1,INDEX('Conversion Range'!$D$2:$D$35,MATCH(AH$1,'Conversion Range'!$A$2:$A$35,0))-(('Legend Attributes'!AH37-1)/19)*(INDEX('Conversion Range'!$D$2:$D$35,MATCH(AH$1,'Conversion Range'!$A$2:$A$35,0))-INDEX('Conversion Range'!$C$2:$C$35,MATCH(AH$1,'Conversion Range'!$A$2:$A$35,0))),INDEX('Conversion Range'!$C$2:$C$35,MATCH(AH$1,'Conversion Range'!$A$2:$A$35,0))+(('Legend Attributes'!AH37-1)/19)*(INDEX('Conversion Range'!$D$2:$D$35,MATCH(AH$1,'Conversion Range'!$A$2:$A$35,0))-INDEX('Conversion Range'!$C$2:$C$35,MATCH(AH$1,'Conversion Range'!$A$2:$A$35,0)))),3))</f>
        <v>0.224</v>
      </c>
      <c r="AI37">
        <f>IF('Legend Attributes'!AI37=0,0,ROUND(IF(INDEX('Conversion Range'!$E$2:$E$35,MATCH(AI$1,'Conversion Range'!$A$2:$A$35,0))=1,INDEX('Conversion Range'!$D$2:$D$35,MATCH(AI$1,'Conversion Range'!$A$2:$A$35,0))-(('Legend Attributes'!AI37-1)/19)*(INDEX('Conversion Range'!$D$2:$D$35,MATCH(AI$1,'Conversion Range'!$A$2:$A$35,0))-INDEX('Conversion Range'!$C$2:$C$35,MATCH(AI$1,'Conversion Range'!$A$2:$A$35,0))),INDEX('Conversion Range'!$C$2:$C$35,MATCH(AI$1,'Conversion Range'!$A$2:$A$35,0))+(('Legend Attributes'!AI37-1)/19)*(INDEX('Conversion Range'!$D$2:$D$35,MATCH(AI$1,'Conversion Range'!$A$2:$A$35,0))-INDEX('Conversion Range'!$C$2:$C$35,MATCH(AI$1,'Conversion Range'!$A$2:$A$35,0)))),3))</f>
        <v>5.7000000000000002E-2</v>
      </c>
      <c r="AJ37">
        <f>IF('Legend Attributes'!AJ37=0,0,ROUND(IF(INDEX('Conversion Range'!$E$2:$E$35,MATCH(AJ$1,'Conversion Range'!$A$2:$A$35,0))=1,INDEX('Conversion Range'!$D$2:$D$35,MATCH(AJ$1,'Conversion Range'!$A$2:$A$35,0))-(('Legend Attributes'!AJ37-1)/19)*(INDEX('Conversion Range'!$D$2:$D$35,MATCH(AJ$1,'Conversion Range'!$A$2:$A$35,0))-INDEX('Conversion Range'!$C$2:$C$35,MATCH(AJ$1,'Conversion Range'!$A$2:$A$35,0))),INDEX('Conversion Range'!$C$2:$C$35,MATCH(AJ$1,'Conversion Range'!$A$2:$A$35,0))+(('Legend Attributes'!AJ37-1)/19)*(INDEX('Conversion Range'!$D$2:$D$35,MATCH(AJ$1,'Conversion Range'!$A$2:$A$35,0))-INDEX('Conversion Range'!$C$2:$C$35,MATCH(AJ$1,'Conversion Range'!$A$2:$A$35,0)))),3))</f>
        <v>7.726</v>
      </c>
    </row>
    <row r="38" spans="1:36" x14ac:dyDescent="0.35">
      <c r="A38" t="str">
        <f>'Legend Attributes'!A38</f>
        <v>James Milner</v>
      </c>
      <c r="B38" t="str">
        <f>'Legend Attributes'!B38</f>
        <v>CM</v>
      </c>
      <c r="C38">
        <f>IF('Legend Attributes'!C38=0,0,ROUND(IF(INDEX('Conversion Range'!$E$2:$E$35,MATCH(C$1,'Conversion Range'!$A$2:$A$35,0))=1,INDEX('Conversion Range'!$D$2:$D$35,MATCH(C$1,'Conversion Range'!$A$2:$A$35,0))-(('Legend Attributes'!C38-1)/19)*(INDEX('Conversion Range'!$D$2:$D$35,MATCH(C$1,'Conversion Range'!$A$2:$A$35,0))-INDEX('Conversion Range'!$C$2:$C$35,MATCH(C$1,'Conversion Range'!$A$2:$A$35,0))),INDEX('Conversion Range'!$C$2:$C$35,MATCH(C$1,'Conversion Range'!$A$2:$A$35,0))+(('Legend Attributes'!C38-1)/19)*(INDEX('Conversion Range'!$D$2:$D$35,MATCH(C$1,'Conversion Range'!$A$2:$A$35,0))-INDEX('Conversion Range'!$C$2:$C$35,MATCH(C$1,'Conversion Range'!$A$2:$A$35,0)))),3))</f>
        <v>0.28199999999999997</v>
      </c>
      <c r="D38">
        <f>IF('Legend Attributes'!D38=0,0,ROUND(IF(INDEX('Conversion Range'!$E$2:$E$35,MATCH(D$1,'Conversion Range'!$A$2:$A$35,0))=1,INDEX('Conversion Range'!$D$2:$D$35,MATCH(D$1,'Conversion Range'!$A$2:$A$35,0))-(('Legend Attributes'!D38-1)/19)*(INDEX('Conversion Range'!$D$2:$D$35,MATCH(D$1,'Conversion Range'!$A$2:$A$35,0))-INDEX('Conversion Range'!$C$2:$C$35,MATCH(D$1,'Conversion Range'!$A$2:$A$35,0))),INDEX('Conversion Range'!$C$2:$C$35,MATCH(D$1,'Conversion Range'!$A$2:$A$35,0))+(('Legend Attributes'!D38-1)/19)*(INDEX('Conversion Range'!$D$2:$D$35,MATCH(D$1,'Conversion Range'!$A$2:$A$35,0))-INDEX('Conversion Range'!$C$2:$C$35,MATCH(D$1,'Conversion Range'!$A$2:$A$35,0)))),3))</f>
        <v>0.251</v>
      </c>
      <c r="E38">
        <f>IF('Legend Attributes'!E38=0,0,ROUND(IF(INDEX('Conversion Range'!$E$2:$E$35,MATCH(E$1,'Conversion Range'!$A$2:$A$35,0))=1,INDEX('Conversion Range'!$D$2:$D$35,MATCH(E$1,'Conversion Range'!$A$2:$A$35,0))-(('Legend Attributes'!E38-1)/19)*(INDEX('Conversion Range'!$D$2:$D$35,MATCH(E$1,'Conversion Range'!$A$2:$A$35,0))-INDEX('Conversion Range'!$C$2:$C$35,MATCH(E$1,'Conversion Range'!$A$2:$A$35,0))),INDEX('Conversion Range'!$C$2:$C$35,MATCH(E$1,'Conversion Range'!$A$2:$A$35,0))+(('Legend Attributes'!E38-1)/19)*(INDEX('Conversion Range'!$D$2:$D$35,MATCH(E$1,'Conversion Range'!$A$2:$A$35,0))-INDEX('Conversion Range'!$C$2:$C$35,MATCH(E$1,'Conversion Range'!$A$2:$A$35,0)))),3))</f>
        <v>0.35099999999999998</v>
      </c>
      <c r="F38">
        <f>IF('Legend Attributes'!F38=0,0,ROUND(IF(INDEX('Conversion Range'!$E$2:$E$35,MATCH(F$1,'Conversion Range'!$A$2:$A$35,0))=1,INDEX('Conversion Range'!$D$2:$D$35,MATCH(F$1,'Conversion Range'!$A$2:$A$35,0))-(('Legend Attributes'!F38-1)/19)*(INDEX('Conversion Range'!$D$2:$D$35,MATCH(F$1,'Conversion Range'!$A$2:$A$35,0))-INDEX('Conversion Range'!$C$2:$C$35,MATCH(F$1,'Conversion Range'!$A$2:$A$35,0))),INDEX('Conversion Range'!$C$2:$C$35,MATCH(F$1,'Conversion Range'!$A$2:$A$35,0))+(('Legend Attributes'!F38-1)/19)*(INDEX('Conversion Range'!$D$2:$D$35,MATCH(F$1,'Conversion Range'!$A$2:$A$35,0))-INDEX('Conversion Range'!$C$2:$C$35,MATCH(F$1,'Conversion Range'!$A$2:$A$35,0)))),3))</f>
        <v>1.3660000000000001</v>
      </c>
      <c r="G38">
        <f>IF('Legend Attributes'!G38=0,0,ROUND(IF(INDEX('Conversion Range'!$E$2:$E$35,MATCH(G$1,'Conversion Range'!$A$2:$A$35,0))=1,INDEX('Conversion Range'!$D$2:$D$35,MATCH(G$1,'Conversion Range'!$A$2:$A$35,0))-(('Legend Attributes'!G38-1)/19)*(INDEX('Conversion Range'!$D$2:$D$35,MATCH(G$1,'Conversion Range'!$A$2:$A$35,0))-INDEX('Conversion Range'!$C$2:$C$35,MATCH(G$1,'Conversion Range'!$A$2:$A$35,0))),INDEX('Conversion Range'!$C$2:$C$35,MATCH(G$1,'Conversion Range'!$A$2:$A$35,0))+(('Legend Attributes'!G38-1)/19)*(INDEX('Conversion Range'!$D$2:$D$35,MATCH(G$1,'Conversion Range'!$A$2:$A$35,0))-INDEX('Conversion Range'!$C$2:$C$35,MATCH(G$1,'Conversion Range'!$A$2:$A$35,0)))),3))</f>
        <v>0.66400000000000003</v>
      </c>
      <c r="H38">
        <f>IF('Legend Attributes'!H38=0,0,ROUND(IF(INDEX('Conversion Range'!$E$2:$E$35,MATCH(H$1,'Conversion Range'!$A$2:$A$35,0))=1,INDEX('Conversion Range'!$D$2:$D$35,MATCH(H$1,'Conversion Range'!$A$2:$A$35,0))-(('Legend Attributes'!H38-1)/19)*(INDEX('Conversion Range'!$D$2:$D$35,MATCH(H$1,'Conversion Range'!$A$2:$A$35,0))-INDEX('Conversion Range'!$C$2:$C$35,MATCH(H$1,'Conversion Range'!$A$2:$A$35,0))),INDEX('Conversion Range'!$C$2:$C$35,MATCH(H$1,'Conversion Range'!$A$2:$A$35,0))+(('Legend Attributes'!H38-1)/19)*(INDEX('Conversion Range'!$D$2:$D$35,MATCH(H$1,'Conversion Range'!$A$2:$A$35,0))-INDEX('Conversion Range'!$C$2:$C$35,MATCH(H$1,'Conversion Range'!$A$2:$A$35,0)))),3))</f>
        <v>0.105</v>
      </c>
      <c r="I38">
        <f>IF('Legend Attributes'!I38=0,0,ROUND(IF(INDEX('Conversion Range'!$E$2:$E$35,MATCH(I$1,'Conversion Range'!$A$2:$A$35,0))=1,INDEX('Conversion Range'!$D$2:$D$35,MATCH(I$1,'Conversion Range'!$A$2:$A$35,0))-(('Legend Attributes'!I38-1)/19)*(INDEX('Conversion Range'!$D$2:$D$35,MATCH(I$1,'Conversion Range'!$A$2:$A$35,0))-INDEX('Conversion Range'!$C$2:$C$35,MATCH(I$1,'Conversion Range'!$A$2:$A$35,0))),INDEX('Conversion Range'!$C$2:$C$35,MATCH(I$1,'Conversion Range'!$A$2:$A$35,0))+(('Legend Attributes'!I38-1)/19)*(INDEX('Conversion Range'!$D$2:$D$35,MATCH(I$1,'Conversion Range'!$A$2:$A$35,0))-INDEX('Conversion Range'!$C$2:$C$35,MATCH(I$1,'Conversion Range'!$A$2:$A$35,0)))),3))</f>
        <v>1.4159999999999999</v>
      </c>
      <c r="J38">
        <f>IF('Legend Attributes'!J38=0,0,ROUND(IF(INDEX('Conversion Range'!$E$2:$E$35,MATCH(J$1,'Conversion Range'!$A$2:$A$35,0))=1,INDEX('Conversion Range'!$D$2:$D$35,MATCH(J$1,'Conversion Range'!$A$2:$A$35,0))-(('Legend Attributes'!J38-1)/19)*(INDEX('Conversion Range'!$D$2:$D$35,MATCH(J$1,'Conversion Range'!$A$2:$A$35,0))-INDEX('Conversion Range'!$C$2:$C$35,MATCH(J$1,'Conversion Range'!$A$2:$A$35,0))),INDEX('Conversion Range'!$C$2:$C$35,MATCH(J$1,'Conversion Range'!$A$2:$A$35,0))+(('Legend Attributes'!J38-1)/19)*(INDEX('Conversion Range'!$D$2:$D$35,MATCH(J$1,'Conversion Range'!$A$2:$A$35,0))-INDEX('Conversion Range'!$C$2:$C$35,MATCH(J$1,'Conversion Range'!$A$2:$A$35,0)))),3))</f>
        <v>2.1579999999999999</v>
      </c>
      <c r="K38">
        <f>IF('Legend Attributes'!K38=0,0,ROUND(IF(INDEX('Conversion Range'!$E$2:$E$35,MATCH(K$1,'Conversion Range'!$A$2:$A$35,0))=1,INDEX('Conversion Range'!$D$2:$D$35,MATCH(K$1,'Conversion Range'!$A$2:$A$35,0))-(('Legend Attributes'!K38-1)/19)*(INDEX('Conversion Range'!$D$2:$D$35,MATCH(K$1,'Conversion Range'!$A$2:$A$35,0))-INDEX('Conversion Range'!$C$2:$C$35,MATCH(K$1,'Conversion Range'!$A$2:$A$35,0))),INDEX('Conversion Range'!$C$2:$C$35,MATCH(K$1,'Conversion Range'!$A$2:$A$35,0))+(('Legend Attributes'!K38-1)/19)*(INDEX('Conversion Range'!$D$2:$D$35,MATCH(K$1,'Conversion Range'!$A$2:$A$35,0))-INDEX('Conversion Range'!$C$2:$C$35,MATCH(K$1,'Conversion Range'!$A$2:$A$35,0)))),3))</f>
        <v>1.026</v>
      </c>
      <c r="L38">
        <f>IF('Legend Attributes'!L38=0,0,ROUND(IF(INDEX('Conversion Range'!$E$2:$E$35,MATCH(L$1,'Conversion Range'!$A$2:$A$35,0))=1,INDEX('Conversion Range'!$D$2:$D$35,MATCH(L$1,'Conversion Range'!$A$2:$A$35,0))-(('Legend Attributes'!L38-1)/19)*(INDEX('Conversion Range'!$D$2:$D$35,MATCH(L$1,'Conversion Range'!$A$2:$A$35,0))-INDEX('Conversion Range'!$C$2:$C$35,MATCH(L$1,'Conversion Range'!$A$2:$A$35,0))),INDEX('Conversion Range'!$C$2:$C$35,MATCH(L$1,'Conversion Range'!$A$2:$A$35,0))+(('Legend Attributes'!L38-1)/19)*(INDEX('Conversion Range'!$D$2:$D$35,MATCH(L$1,'Conversion Range'!$A$2:$A$35,0))-INDEX('Conversion Range'!$C$2:$C$35,MATCH(L$1,'Conversion Range'!$A$2:$A$35,0)))),3))</f>
        <v>1.6319999999999999</v>
      </c>
      <c r="M38">
        <f>IF('Legend Attributes'!M38=0,0,ROUND(IF(INDEX('Conversion Range'!$E$2:$E$35,MATCH(M$1,'Conversion Range'!$A$2:$A$35,0))=1,INDEX('Conversion Range'!$D$2:$D$35,MATCH(M$1,'Conversion Range'!$A$2:$A$35,0))-(('Legend Attributes'!M38-1)/19)*(INDEX('Conversion Range'!$D$2:$D$35,MATCH(M$1,'Conversion Range'!$A$2:$A$35,0))-INDEX('Conversion Range'!$C$2:$C$35,MATCH(M$1,'Conversion Range'!$A$2:$A$35,0))),INDEX('Conversion Range'!$C$2:$C$35,MATCH(M$1,'Conversion Range'!$A$2:$A$35,0))+(('Legend Attributes'!M38-1)/19)*(INDEX('Conversion Range'!$D$2:$D$35,MATCH(M$1,'Conversion Range'!$A$2:$A$35,0))-INDEX('Conversion Range'!$C$2:$C$35,MATCH(M$1,'Conversion Range'!$A$2:$A$35,0)))),3))</f>
        <v>0.42099999999999999</v>
      </c>
      <c r="N38">
        <f>IF('Legend Attributes'!N38=0,0,ROUND(IF(INDEX('Conversion Range'!$E$2:$E$35,MATCH(N$1,'Conversion Range'!$A$2:$A$35,0))=1,INDEX('Conversion Range'!$D$2:$D$35,MATCH(N$1,'Conversion Range'!$A$2:$A$35,0))-(('Legend Attributes'!N38-1)/19)*(INDEX('Conversion Range'!$D$2:$D$35,MATCH(N$1,'Conversion Range'!$A$2:$A$35,0))-INDEX('Conversion Range'!$C$2:$C$35,MATCH(N$1,'Conversion Range'!$A$2:$A$35,0))),INDEX('Conversion Range'!$C$2:$C$35,MATCH(N$1,'Conversion Range'!$A$2:$A$35,0))+(('Legend Attributes'!N38-1)/19)*(INDEX('Conversion Range'!$D$2:$D$35,MATCH(N$1,'Conversion Range'!$A$2:$A$35,0))-INDEX('Conversion Range'!$C$2:$C$35,MATCH(N$1,'Conversion Range'!$A$2:$A$35,0)))),3))</f>
        <v>6.7370000000000001</v>
      </c>
      <c r="O38">
        <f>IF('Legend Attributes'!O38=0,0,ROUND(IF(INDEX('Conversion Range'!$E$2:$E$35,MATCH(O$1,'Conversion Range'!$A$2:$A$35,0))=1,INDEX('Conversion Range'!$D$2:$D$35,MATCH(O$1,'Conversion Range'!$A$2:$A$35,0))-(('Legend Attributes'!O38-1)/19)*(INDEX('Conversion Range'!$D$2:$D$35,MATCH(O$1,'Conversion Range'!$A$2:$A$35,0))-INDEX('Conversion Range'!$C$2:$C$35,MATCH(O$1,'Conversion Range'!$A$2:$A$35,0))),INDEX('Conversion Range'!$C$2:$C$35,MATCH(O$1,'Conversion Range'!$A$2:$A$35,0))+(('Legend Attributes'!O38-1)/19)*(INDEX('Conversion Range'!$D$2:$D$35,MATCH(O$1,'Conversion Range'!$A$2:$A$35,0))-INDEX('Conversion Range'!$C$2:$C$35,MATCH(O$1,'Conversion Range'!$A$2:$A$35,0)))),3))</f>
        <v>0.91600000000000004</v>
      </c>
      <c r="P38">
        <f>IF('Legend Attributes'!P38=0,0,ROUND(IF(INDEX('Conversion Range'!$E$2:$E$35,MATCH(P$1,'Conversion Range'!$A$2:$A$35,0))=1,INDEX('Conversion Range'!$D$2:$D$35,MATCH(P$1,'Conversion Range'!$A$2:$A$35,0))-(('Legend Attributes'!P38-1)/19)*(INDEX('Conversion Range'!$D$2:$D$35,MATCH(P$1,'Conversion Range'!$A$2:$A$35,0))-INDEX('Conversion Range'!$C$2:$C$35,MATCH(P$1,'Conversion Range'!$A$2:$A$35,0))),INDEX('Conversion Range'!$C$2:$C$35,MATCH(P$1,'Conversion Range'!$A$2:$A$35,0))+(('Legend Attributes'!P38-1)/19)*(INDEX('Conversion Range'!$D$2:$D$35,MATCH(P$1,'Conversion Range'!$A$2:$A$35,0))-INDEX('Conversion Range'!$C$2:$C$35,MATCH(P$1,'Conversion Range'!$A$2:$A$35,0)))),3))</f>
        <v>58.947000000000003</v>
      </c>
      <c r="Q38">
        <f>IF('Legend Attributes'!Q38=0,0,ROUND(IF(INDEX('Conversion Range'!$E$2:$E$35,MATCH(Q$1,'Conversion Range'!$A$2:$A$35,0))=1,INDEX('Conversion Range'!$D$2:$D$35,MATCH(Q$1,'Conversion Range'!$A$2:$A$35,0))-(('Legend Attributes'!Q38-1)/19)*(INDEX('Conversion Range'!$D$2:$D$35,MATCH(Q$1,'Conversion Range'!$A$2:$A$35,0))-INDEX('Conversion Range'!$C$2:$C$35,MATCH(Q$1,'Conversion Range'!$A$2:$A$35,0))),INDEX('Conversion Range'!$C$2:$C$35,MATCH(Q$1,'Conversion Range'!$A$2:$A$35,0))+(('Legend Attributes'!Q38-1)/19)*(INDEX('Conversion Range'!$D$2:$D$35,MATCH(Q$1,'Conversion Range'!$A$2:$A$35,0))-INDEX('Conversion Range'!$C$2:$C$35,MATCH(Q$1,'Conversion Range'!$A$2:$A$35,0)))),3))</f>
        <v>52.368000000000002</v>
      </c>
      <c r="R38">
        <f>IF('Legend Attributes'!R38=0,0,ROUND(IF(INDEX('Conversion Range'!$E$2:$E$35,MATCH(R$1,'Conversion Range'!$A$2:$A$35,0))=1,INDEX('Conversion Range'!$D$2:$D$35,MATCH(R$1,'Conversion Range'!$A$2:$A$35,0))-(('Legend Attributes'!R38-1)/19)*(INDEX('Conversion Range'!$D$2:$D$35,MATCH(R$1,'Conversion Range'!$A$2:$A$35,0))-INDEX('Conversion Range'!$C$2:$C$35,MATCH(R$1,'Conversion Range'!$A$2:$A$35,0))),INDEX('Conversion Range'!$C$2:$C$35,MATCH(R$1,'Conversion Range'!$A$2:$A$35,0))+(('Legend Attributes'!R38-1)/19)*(INDEX('Conversion Range'!$D$2:$D$35,MATCH(R$1,'Conversion Range'!$A$2:$A$35,0))-INDEX('Conversion Range'!$C$2:$C$35,MATCH(R$1,'Conversion Range'!$A$2:$A$35,0)))),3))</f>
        <v>82.367999999999995</v>
      </c>
      <c r="S38">
        <f>IF('Legend Attributes'!S38=0,0,ROUND(IF(INDEX('Conversion Range'!$E$2:$E$35,MATCH(S$1,'Conversion Range'!$A$2:$A$35,0))=1,INDEX('Conversion Range'!$D$2:$D$35,MATCH(S$1,'Conversion Range'!$A$2:$A$35,0))-(('Legend Attributes'!S38-1)/19)*(INDEX('Conversion Range'!$D$2:$D$35,MATCH(S$1,'Conversion Range'!$A$2:$A$35,0))-INDEX('Conversion Range'!$C$2:$C$35,MATCH(S$1,'Conversion Range'!$A$2:$A$35,0))),INDEX('Conversion Range'!$C$2:$C$35,MATCH(S$1,'Conversion Range'!$A$2:$A$35,0))+(('Legend Attributes'!S38-1)/19)*(INDEX('Conversion Range'!$D$2:$D$35,MATCH(S$1,'Conversion Range'!$A$2:$A$35,0))-INDEX('Conversion Range'!$C$2:$C$35,MATCH(S$1,'Conversion Range'!$A$2:$A$35,0)))),3))</f>
        <v>3.7530000000000001</v>
      </c>
      <c r="T38">
        <f>IF('Legend Attributes'!T38=0,0,ROUND(IF(INDEX('Conversion Range'!$E$2:$E$35,MATCH(T$1,'Conversion Range'!$A$2:$A$35,0))=1,INDEX('Conversion Range'!$D$2:$D$35,MATCH(T$1,'Conversion Range'!$A$2:$A$35,0))-(('Legend Attributes'!T38-1)/19)*(INDEX('Conversion Range'!$D$2:$D$35,MATCH(T$1,'Conversion Range'!$A$2:$A$35,0))-INDEX('Conversion Range'!$C$2:$C$35,MATCH(T$1,'Conversion Range'!$A$2:$A$35,0))),INDEX('Conversion Range'!$C$2:$C$35,MATCH(T$1,'Conversion Range'!$A$2:$A$35,0))+(('Legend Attributes'!T38-1)/19)*(INDEX('Conversion Range'!$D$2:$D$35,MATCH(T$1,'Conversion Range'!$A$2:$A$35,0))-INDEX('Conversion Range'!$C$2:$C$35,MATCH(T$1,'Conversion Range'!$A$2:$A$35,0)))),3))</f>
        <v>49.895000000000003</v>
      </c>
      <c r="U38">
        <f>IF('Legend Attributes'!U38=0,0,ROUND(IF(INDEX('Conversion Range'!$E$2:$E$35,MATCH(U$1,'Conversion Range'!$A$2:$A$35,0))=1,INDEX('Conversion Range'!$D$2:$D$35,MATCH(U$1,'Conversion Range'!$A$2:$A$35,0))-(('Legend Attributes'!U38-1)/19)*(INDEX('Conversion Range'!$D$2:$D$35,MATCH(U$1,'Conversion Range'!$A$2:$A$35,0))-INDEX('Conversion Range'!$C$2:$C$35,MATCH(U$1,'Conversion Range'!$A$2:$A$35,0))),INDEX('Conversion Range'!$C$2:$C$35,MATCH(U$1,'Conversion Range'!$A$2:$A$35,0))+(('Legend Attributes'!U38-1)/19)*(INDEX('Conversion Range'!$D$2:$D$35,MATCH(U$1,'Conversion Range'!$A$2:$A$35,0))-INDEX('Conversion Range'!$C$2:$C$35,MATCH(U$1,'Conversion Range'!$A$2:$A$35,0)))),3))</f>
        <v>1.6679999999999999</v>
      </c>
      <c r="V38">
        <f>IF('Legend Attributes'!V38=0,0,ROUND(IF(INDEX('Conversion Range'!$E$2:$E$35,MATCH(V$1,'Conversion Range'!$A$2:$A$35,0))=1,INDEX('Conversion Range'!$D$2:$D$35,MATCH(V$1,'Conversion Range'!$A$2:$A$35,0))-(('Legend Attributes'!V38-1)/19)*(INDEX('Conversion Range'!$D$2:$D$35,MATCH(V$1,'Conversion Range'!$A$2:$A$35,0))-INDEX('Conversion Range'!$C$2:$C$35,MATCH(V$1,'Conversion Range'!$A$2:$A$35,0))),INDEX('Conversion Range'!$C$2:$C$35,MATCH(V$1,'Conversion Range'!$A$2:$A$35,0))+(('Legend Attributes'!V38-1)/19)*(INDEX('Conversion Range'!$D$2:$D$35,MATCH(V$1,'Conversion Range'!$A$2:$A$35,0))-INDEX('Conversion Range'!$C$2:$C$35,MATCH(V$1,'Conversion Range'!$A$2:$A$35,0)))),3))</f>
        <v>46.579000000000001</v>
      </c>
      <c r="W38">
        <f>IF('Legend Attributes'!W38=0,0,ROUND(IF(INDEX('Conversion Range'!$E$2:$E$35,MATCH(W$1,'Conversion Range'!$A$2:$A$35,0))=1,INDEX('Conversion Range'!$D$2:$D$35,MATCH(W$1,'Conversion Range'!$A$2:$A$35,0))-(('Legend Attributes'!W38-1)/19)*(INDEX('Conversion Range'!$D$2:$D$35,MATCH(W$1,'Conversion Range'!$A$2:$A$35,0))-INDEX('Conversion Range'!$C$2:$C$35,MATCH(W$1,'Conversion Range'!$A$2:$A$35,0))),INDEX('Conversion Range'!$C$2:$C$35,MATCH(W$1,'Conversion Range'!$A$2:$A$35,0))+(('Legend Attributes'!W38-1)/19)*(INDEX('Conversion Range'!$D$2:$D$35,MATCH(W$1,'Conversion Range'!$A$2:$A$35,0))-INDEX('Conversion Range'!$C$2:$C$35,MATCH(W$1,'Conversion Range'!$A$2:$A$35,0)))),3))</f>
        <v>0.13200000000000001</v>
      </c>
      <c r="X38">
        <f>IF('Legend Attributes'!X38=0,0,ROUND(IF(INDEX('Conversion Range'!$E$2:$E$35,MATCH(X$1,'Conversion Range'!$A$2:$A$35,0))=1,INDEX('Conversion Range'!$D$2:$D$35,MATCH(X$1,'Conversion Range'!$A$2:$A$35,0))-(('Legend Attributes'!X38-1)/19)*(INDEX('Conversion Range'!$D$2:$D$35,MATCH(X$1,'Conversion Range'!$A$2:$A$35,0))-INDEX('Conversion Range'!$C$2:$C$35,MATCH(X$1,'Conversion Range'!$A$2:$A$35,0))),INDEX('Conversion Range'!$C$2:$C$35,MATCH(X$1,'Conversion Range'!$A$2:$A$35,0))+(('Legend Attributes'!X38-1)/19)*(INDEX('Conversion Range'!$D$2:$D$35,MATCH(X$1,'Conversion Range'!$A$2:$A$35,0))-INDEX('Conversion Range'!$C$2:$C$35,MATCH(X$1,'Conversion Range'!$A$2:$A$35,0)))),3))</f>
        <v>0.52100000000000002</v>
      </c>
      <c r="Y38">
        <f>IF('Legend Attributes'!Y38=0,0,ROUND(IF(INDEX('Conversion Range'!$E$2:$E$35,MATCH(Y$1,'Conversion Range'!$A$2:$A$35,0))=1,INDEX('Conversion Range'!$D$2:$D$35,MATCH(Y$1,'Conversion Range'!$A$2:$A$35,0))-(('Legend Attributes'!Y38-1)/19)*(INDEX('Conversion Range'!$D$2:$D$35,MATCH(Y$1,'Conversion Range'!$A$2:$A$35,0))-INDEX('Conversion Range'!$C$2:$C$35,MATCH(Y$1,'Conversion Range'!$A$2:$A$35,0))),INDEX('Conversion Range'!$C$2:$C$35,MATCH(Y$1,'Conversion Range'!$A$2:$A$35,0))+(('Legend Attributes'!Y38-1)/19)*(INDEX('Conversion Range'!$D$2:$D$35,MATCH(Y$1,'Conversion Range'!$A$2:$A$35,0))-INDEX('Conversion Range'!$C$2:$C$35,MATCH(Y$1,'Conversion Range'!$A$2:$A$35,0)))),3))</f>
        <v>0.379</v>
      </c>
      <c r="Z38">
        <f>IF('Legend Attributes'!Z38=0,0,ROUND(IF(INDEX('Conversion Range'!$E$2:$E$35,MATCH(Z$1,'Conversion Range'!$A$2:$A$35,0))=1,INDEX('Conversion Range'!$D$2:$D$35,MATCH(Z$1,'Conversion Range'!$A$2:$A$35,0))-(('Legend Attributes'!Z38-1)/19)*(INDEX('Conversion Range'!$D$2:$D$35,MATCH(Z$1,'Conversion Range'!$A$2:$A$35,0))-INDEX('Conversion Range'!$C$2:$C$35,MATCH(Z$1,'Conversion Range'!$A$2:$A$35,0))),INDEX('Conversion Range'!$C$2:$C$35,MATCH(Z$1,'Conversion Range'!$A$2:$A$35,0))+(('Legend Attributes'!Z38-1)/19)*(INDEX('Conversion Range'!$D$2:$D$35,MATCH(Z$1,'Conversion Range'!$A$2:$A$35,0))-INDEX('Conversion Range'!$C$2:$C$35,MATCH(Z$1,'Conversion Range'!$A$2:$A$35,0)))),3))</f>
        <v>7.4470000000000001</v>
      </c>
      <c r="AA38">
        <f>IF('Legend Attributes'!AA38=0,0,ROUND(IF(INDEX('Conversion Range'!$E$2:$E$35,MATCH(AA$1,'Conversion Range'!$A$2:$A$35,0))=1,INDEX('Conversion Range'!$D$2:$D$35,MATCH(AA$1,'Conversion Range'!$A$2:$A$35,0))-(('Legend Attributes'!AA38-1)/19)*(INDEX('Conversion Range'!$D$2:$D$35,MATCH(AA$1,'Conversion Range'!$A$2:$A$35,0))-INDEX('Conversion Range'!$C$2:$C$35,MATCH(AA$1,'Conversion Range'!$A$2:$A$35,0))),INDEX('Conversion Range'!$C$2:$C$35,MATCH(AA$1,'Conversion Range'!$A$2:$A$35,0))+(('Legend Attributes'!AA38-1)/19)*(INDEX('Conversion Range'!$D$2:$D$35,MATCH(AA$1,'Conversion Range'!$A$2:$A$35,0))-INDEX('Conversion Range'!$C$2:$C$35,MATCH(AA$1,'Conversion Range'!$A$2:$A$35,0)))),3))</f>
        <v>0.184</v>
      </c>
      <c r="AB38">
        <f>IF('Legend Attributes'!AB38=0,0,ROUND(IF(INDEX('Conversion Range'!$E$2:$E$35,MATCH(AB$1,'Conversion Range'!$A$2:$A$35,0))=1,INDEX('Conversion Range'!$D$2:$D$35,MATCH(AB$1,'Conversion Range'!$A$2:$A$35,0))-(('Legend Attributes'!AB38-1)/19)*(INDEX('Conversion Range'!$D$2:$D$35,MATCH(AB$1,'Conversion Range'!$A$2:$A$35,0))-INDEX('Conversion Range'!$C$2:$C$35,MATCH(AB$1,'Conversion Range'!$A$2:$A$35,0))),INDEX('Conversion Range'!$C$2:$C$35,MATCH(AB$1,'Conversion Range'!$A$2:$A$35,0))+(('Legend Attributes'!AB38-1)/19)*(INDEX('Conversion Range'!$D$2:$D$35,MATCH(AB$1,'Conversion Range'!$A$2:$A$35,0))-INDEX('Conversion Range'!$C$2:$C$35,MATCH(AB$1,'Conversion Range'!$A$2:$A$35,0)))),3))</f>
        <v>0.52400000000000002</v>
      </c>
      <c r="AC38">
        <f>IF('Legend Attributes'!AC38=0,0,ROUND(IF(INDEX('Conversion Range'!$E$2:$E$35,MATCH(AC$1,'Conversion Range'!$A$2:$A$35,0))=1,INDEX('Conversion Range'!$D$2:$D$35,MATCH(AC$1,'Conversion Range'!$A$2:$A$35,0))-(('Legend Attributes'!AC38-1)/19)*(INDEX('Conversion Range'!$D$2:$D$35,MATCH(AC$1,'Conversion Range'!$A$2:$A$35,0))-INDEX('Conversion Range'!$C$2:$C$35,MATCH(AC$1,'Conversion Range'!$A$2:$A$35,0))),INDEX('Conversion Range'!$C$2:$C$35,MATCH(AC$1,'Conversion Range'!$A$2:$A$35,0))+(('Legend Attributes'!AC38-1)/19)*(INDEX('Conversion Range'!$D$2:$D$35,MATCH(AC$1,'Conversion Range'!$A$2:$A$35,0))-INDEX('Conversion Range'!$C$2:$C$35,MATCH(AC$1,'Conversion Range'!$A$2:$A$35,0)))),3))</f>
        <v>0.30399999999999999</v>
      </c>
      <c r="AD38">
        <f>IF('Legend Attributes'!AD38=0,0,ROUND(IF(INDEX('Conversion Range'!$E$2:$E$35,MATCH(AD$1,'Conversion Range'!$A$2:$A$35,0))=1,INDEX('Conversion Range'!$D$2:$D$35,MATCH(AD$1,'Conversion Range'!$A$2:$A$35,0))-(('Legend Attributes'!AD38-1)/19)*(INDEX('Conversion Range'!$D$2:$D$35,MATCH(AD$1,'Conversion Range'!$A$2:$A$35,0))-INDEX('Conversion Range'!$C$2:$C$35,MATCH(AD$1,'Conversion Range'!$A$2:$A$35,0))),INDEX('Conversion Range'!$C$2:$C$35,MATCH(AD$1,'Conversion Range'!$A$2:$A$35,0))+(('Legend Attributes'!AD38-1)/19)*(INDEX('Conversion Range'!$D$2:$D$35,MATCH(AD$1,'Conversion Range'!$A$2:$A$35,0))-INDEX('Conversion Range'!$C$2:$C$35,MATCH(AD$1,'Conversion Range'!$A$2:$A$35,0)))),3))</f>
        <v>0</v>
      </c>
      <c r="AE38">
        <f>IF('Legend Attributes'!AE38=0,0,ROUND(IF(INDEX('Conversion Range'!$E$2:$E$35,MATCH(AE$1,'Conversion Range'!$A$2:$A$35,0))=1,INDEX('Conversion Range'!$D$2:$D$35,MATCH(AE$1,'Conversion Range'!$A$2:$A$35,0))-(('Legend Attributes'!AE38-1)/19)*(INDEX('Conversion Range'!$D$2:$D$35,MATCH(AE$1,'Conversion Range'!$A$2:$A$35,0))-INDEX('Conversion Range'!$C$2:$C$35,MATCH(AE$1,'Conversion Range'!$A$2:$A$35,0))),INDEX('Conversion Range'!$C$2:$C$35,MATCH(AE$1,'Conversion Range'!$A$2:$A$35,0))+(('Legend Attributes'!AE38-1)/19)*(INDEX('Conversion Range'!$D$2:$D$35,MATCH(AE$1,'Conversion Range'!$A$2:$A$35,0))-INDEX('Conversion Range'!$C$2:$C$35,MATCH(AE$1,'Conversion Range'!$A$2:$A$35,0)))),3))</f>
        <v>0</v>
      </c>
      <c r="AF38">
        <f>IF('Legend Attributes'!AF38=0,0,ROUND(IF(INDEX('Conversion Range'!$E$2:$E$35,MATCH(AF$1,'Conversion Range'!$A$2:$A$35,0))=1,INDEX('Conversion Range'!$D$2:$D$35,MATCH(AF$1,'Conversion Range'!$A$2:$A$35,0))-(('Legend Attributes'!AF38-1)/19)*(INDEX('Conversion Range'!$D$2:$D$35,MATCH(AF$1,'Conversion Range'!$A$2:$A$35,0))-INDEX('Conversion Range'!$C$2:$C$35,MATCH(AF$1,'Conversion Range'!$A$2:$A$35,0))),INDEX('Conversion Range'!$C$2:$C$35,MATCH(AF$1,'Conversion Range'!$A$2:$A$35,0))+(('Legend Attributes'!AF38-1)/19)*(INDEX('Conversion Range'!$D$2:$D$35,MATCH(AF$1,'Conversion Range'!$A$2:$A$35,0))-INDEX('Conversion Range'!$C$2:$C$35,MATCH(AF$1,'Conversion Range'!$A$2:$A$35,0)))),3))</f>
        <v>0</v>
      </c>
      <c r="AG38">
        <f>IF('Legend Attributes'!AG38=0,0,ROUND(IF(INDEX('Conversion Range'!$E$2:$E$35,MATCH(AG$1,'Conversion Range'!$A$2:$A$35,0))=1,INDEX('Conversion Range'!$D$2:$D$35,MATCH(AG$1,'Conversion Range'!$A$2:$A$35,0))-(('Legend Attributes'!AG38-1)/19)*(INDEX('Conversion Range'!$D$2:$D$35,MATCH(AG$1,'Conversion Range'!$A$2:$A$35,0))-INDEX('Conversion Range'!$C$2:$C$35,MATCH(AG$1,'Conversion Range'!$A$2:$A$35,0))),INDEX('Conversion Range'!$C$2:$C$35,MATCH(AG$1,'Conversion Range'!$A$2:$A$35,0))+(('Legend Attributes'!AG38-1)/19)*(INDEX('Conversion Range'!$D$2:$D$35,MATCH(AG$1,'Conversion Range'!$A$2:$A$35,0))-INDEX('Conversion Range'!$C$2:$C$35,MATCH(AG$1,'Conversion Range'!$A$2:$A$35,0)))),3))</f>
        <v>1.1319999999999999</v>
      </c>
      <c r="AH38">
        <f>IF('Legend Attributes'!AH38=0,0,ROUND(IF(INDEX('Conversion Range'!$E$2:$E$35,MATCH(AH$1,'Conversion Range'!$A$2:$A$35,0))=1,INDEX('Conversion Range'!$D$2:$D$35,MATCH(AH$1,'Conversion Range'!$A$2:$A$35,0))-(('Legend Attributes'!AH38-1)/19)*(INDEX('Conversion Range'!$D$2:$D$35,MATCH(AH$1,'Conversion Range'!$A$2:$A$35,0))-INDEX('Conversion Range'!$C$2:$C$35,MATCH(AH$1,'Conversion Range'!$A$2:$A$35,0))),INDEX('Conversion Range'!$C$2:$C$35,MATCH(AH$1,'Conversion Range'!$A$2:$A$35,0))+(('Legend Attributes'!AH38-1)/19)*(INDEX('Conversion Range'!$D$2:$D$35,MATCH(AH$1,'Conversion Range'!$A$2:$A$35,0))-INDEX('Conversion Range'!$C$2:$C$35,MATCH(AH$1,'Conversion Range'!$A$2:$A$35,0)))),3))</f>
        <v>0.13300000000000001</v>
      </c>
      <c r="AI38">
        <f>IF('Legend Attributes'!AI38=0,0,ROUND(IF(INDEX('Conversion Range'!$E$2:$E$35,MATCH(AI$1,'Conversion Range'!$A$2:$A$35,0))=1,INDEX('Conversion Range'!$D$2:$D$35,MATCH(AI$1,'Conversion Range'!$A$2:$A$35,0))-(('Legend Attributes'!AI38-1)/19)*(INDEX('Conversion Range'!$D$2:$D$35,MATCH(AI$1,'Conversion Range'!$A$2:$A$35,0))-INDEX('Conversion Range'!$C$2:$C$35,MATCH(AI$1,'Conversion Range'!$A$2:$A$35,0))),INDEX('Conversion Range'!$C$2:$C$35,MATCH(AI$1,'Conversion Range'!$A$2:$A$35,0))+(('Legend Attributes'!AI38-1)/19)*(INDEX('Conversion Range'!$D$2:$D$35,MATCH(AI$1,'Conversion Range'!$A$2:$A$35,0))-INDEX('Conversion Range'!$C$2:$C$35,MATCH(AI$1,'Conversion Range'!$A$2:$A$35,0)))),3))</f>
        <v>4.3999999999999997E-2</v>
      </c>
      <c r="AJ38">
        <f>IF('Legend Attributes'!AJ38=0,0,ROUND(IF(INDEX('Conversion Range'!$E$2:$E$35,MATCH(AJ$1,'Conversion Range'!$A$2:$A$35,0))=1,INDEX('Conversion Range'!$D$2:$D$35,MATCH(AJ$1,'Conversion Range'!$A$2:$A$35,0))-(('Legend Attributes'!AJ38-1)/19)*(INDEX('Conversion Range'!$D$2:$D$35,MATCH(AJ$1,'Conversion Range'!$A$2:$A$35,0))-INDEX('Conversion Range'!$C$2:$C$35,MATCH(AJ$1,'Conversion Range'!$A$2:$A$35,0))),INDEX('Conversion Range'!$C$2:$C$35,MATCH(AJ$1,'Conversion Range'!$A$2:$A$35,0))+(('Legend Attributes'!AJ38-1)/19)*(INDEX('Conversion Range'!$D$2:$D$35,MATCH(AJ$1,'Conversion Range'!$A$2:$A$35,0))-INDEX('Conversion Range'!$C$2:$C$35,MATCH(AJ$1,'Conversion Range'!$A$2:$A$35,0)))),3))</f>
        <v>7.726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Conversion Range</vt:lpstr>
      <vt:lpstr>Legend Attributes</vt:lpstr>
      <vt:lpstr>Converted Per-90 Preview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Tathagata</cp:lastModifiedBy>
  <dcterms:created xsi:type="dcterms:W3CDTF">2026-08-09T15:34:58Z</dcterms:created>
  <dcterms:modified xsi:type="dcterms:W3CDTF">2026-09-05T14:59:04Z</dcterms:modified>
</cp:coreProperties>
</file>